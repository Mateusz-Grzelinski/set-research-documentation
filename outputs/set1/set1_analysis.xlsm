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/>
  <bookViews>
    <workbookView xWindow="-120" yWindow="-120" windowWidth="29040" windowHeight="15990" activeTab="1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SPASS!$A$1:$P$31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</calcChain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keepAlive="1" name="Query - Query1 (2)" description="Connection to the 'Query1 (2)' query in the workbook." type="5" refreshedVersion="6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<sst xmlns="http://schemas.openxmlformats.org/spreadsheetml/2006/main" count="454" uniqueCount="87">
  <si>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</si>
  <si>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</si>
  <si>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</si>
  <si>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</si>
  <si>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</si>
  <si>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</si>
  <si>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</si>
  <si>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</si>
  <si>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</si>
  <si>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</si>
  <si>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</si>
  <si>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</si>
  <si>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</si>
  <si>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</si>
  <si>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</si>
  <si>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</si>
  <si>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</si>
  <si>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</si>
  <si>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</si>
  <si>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</si>
  <si>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</si>
  <si>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</si>
  <si>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</si>
  <si>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</si>
  <si>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</si>
  <si>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</si>
  <si>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</si>
  <si>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</si>
  <si>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</si>
  <si>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</si>
  <si>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</si>
  <si>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</si>
  <si>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</si>
  <si>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</si>
  <si>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</si>
  <si>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</si>
  <si>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</si>
  <si>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</si>
  <si>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</si>
  <si>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</si>
  <si>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</si>
  <si>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</si>
  <si>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</si>
  <si>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</si>
  <si>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</si>
  <si>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</si>
  <si>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</si>
  <si>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</si>
  <si>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</si>
  <si>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</si>
  <si>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</si>
  <si>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</si>
  <si>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</si>
  <si>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</si>
  <si>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</si>
  <si>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</si>
  <si>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/home/mat/studia-repos/studio-projektowe/proversBenchmark-przemcom/../logit-formula-generator/test_data/data_set_2/dataset2_500_1:165_5:165_10:165_20:5.p</t>
  </si>
  <si>
    <t>/home/mat/studia-repos/studio-projektowe/proversBenchmark-przemcom/../logit-formula-generator/test_data/data_set_2/dataset2_500_1:125_5:125_10:125_20:125.p</t>
  </si>
  <si>
    <t>/home/mat/studia-repos/studio-projektowe/proversBenchmark-przemcom/../logit-formula-generator/test_data/data_set_2/dataset2_1000_1:330_5:330_10:330_20:10.p</t>
  </si>
  <si>
    <t>/home/mat/studia-repos/studio-projektowe/proversBenchmark-przemcom/../logit-formula-generator/test_data/data_set_2/dataset2_2500_1:833_5:833_10:833.p</t>
  </si>
  <si>
    <t>/home/mat/studia-repos/studio-projektowe/proversBenchmark-przemcom/../logit-formula-generator/test_data/data_set_2/dataset2_2500_5:833_10:833_20:833.p</t>
  </si>
  <si>
    <t>/home/mat/studia-repos/studio-projektowe/proversBenchmark-przemcom/../logit-formula-generator/test_data/data_set_2/dataset2_2500_1:825_5:825_10:825_20:25.p</t>
  </si>
  <si>
    <t>/home/mat/studia-repos/studio-projektowe/proversBenchmark-przemcom/../logit-formula-generator/test_data/data_set_2/dataset2_100_1:33_5:33_10:33_20:1.p</t>
  </si>
  <si>
    <t>/home/mat/studia-repos/studio-projektowe/proversBenchmark-przemcom/../logit-formula-generator/test_data/data_set_2/dataset2_1000_5:333_10:333_20:333.p</t>
  </si>
  <si>
    <t>/home/mat/studia-repos/studio-projektowe/proversBenchmark-przemcom/../logit-formula-generator/test_data/data_set_2/dataset2_5000_1:1250_5:1250_10:1250_20:1250.p</t>
  </si>
  <si>
    <t>/home/mat/studia-repos/studio-projektowe/proversBenchmark-przemcom/../logit-formula-generator/test_data/data_set_2/dataset2_5000_1:50_5:1650_10:1650_20:1650.p</t>
  </si>
  <si>
    <t>/home/mat/studia-repos/studio-projektowe/proversBenchmark-przemcom/../logit-formula-generator/test_data/data_set_2/dataset2_2500_1:25_5:825_10:825_20:825.p</t>
  </si>
  <si>
    <t>/home/mat/studia-repos/studio-projektowe/proversBenchmark-przemcom/../logit-formula-generator/test_data/data_set_2/dataset2_5000_5:1667_10:1667_20:1667.p</t>
  </si>
  <si>
    <t>/home/mat/studia-repos/studio-projektowe/proversBenchmark-przemcom/../logit-formula-generator/test_data/data_set_2/dataset2_200_1:67_5:67_10:67.p</t>
  </si>
  <si>
    <t>/home/mat/studia-repos/studio-projektowe/proversBenchmark-przemcom/../logit-formula-generator/test_data/data_set_2/dataset2_100_1:33_5:33_10:33.p</t>
  </si>
  <si>
    <t>/home/mat/studia-repos/studio-projektowe/proversBenchmark-przemcom/../logit-formula-generator/test_data/data_set_2/dataset2_100_1:25_5:25_10:25_20:25.p</t>
  </si>
  <si>
    <t>/home/mat/studia-repos/studio-projektowe/proversBenchmark-przemcom/../logit-formula-generator/test_data/data_set_2/dataset2_200_1:66_5:66_10:66_20:2.p</t>
  </si>
  <si>
    <t>/home/mat/studia-repos/studio-projektowe/proversBenchmark-przemcom/../logit-formula-generator/test_data/data_set_2/dataset2_1000_1:250_5:250_10:250_20:250.p</t>
  </si>
  <si>
    <t>/home/mat/studia-repos/studio-projektowe/proversBenchmark-przemcom/../logit-formula-generator/test_data/data_set_2/dataset2_5000_1:1650_5:1650_10:1650_20:50.p</t>
  </si>
  <si>
    <t>/home/mat/studia-repos/studio-projektowe/proversBenchmark-przemcom/../logit-formula-generator/test_data/data_set_2/dataset2_500_5:167_10:167_20:167.p</t>
  </si>
  <si>
    <t>/home/mat/studia-repos/studio-projektowe/proversBenchmark-przemcom/../logit-formula-generator/test_data/data_set_2/dataset2_5000_1:1667_5:1667_10:1667.p</t>
  </si>
  <si>
    <t>/home/mat/studia-repos/studio-projektowe/proversBenchmark-przemcom/../logit-formula-generator/test_data/data_set_2/dataset2_100_1:1_5:33_10:33_20:33.p</t>
  </si>
  <si>
    <t>/home/mat/studia-repos/studio-projektowe/proversBenchmark-przemcom/../logit-formula-generator/test_data/data_set_2/dataset2_100_5:33_10:33_20:33.p</t>
  </si>
  <si>
    <t>/home/mat/studia-repos/studio-projektowe/proversBenchmark-przemcom/../logit-formula-generator/test_data/data_set_2/dataset2_500_1:167_5:167_10:167.p</t>
  </si>
  <si>
    <t>/home/mat/studia-repos/studio-projektowe/proversBenchmark-przemcom/../logit-formula-generator/test_data/data_set_2/dataset2_500_1:5_5:165_10:165_20:165.p</t>
  </si>
  <si>
    <t>/home/mat/studia-repos/studio-projektowe/proversBenchmark-przemcom/../logit-formula-generator/test_data/data_set_2/dataset2_200_1:2_5:66_10:66_20:66.p</t>
  </si>
  <si>
    <t>/home/mat/studia-repos/studio-projektowe/proversBenchmark-przemcom/../logit-formula-generator/test_data/data_set_2/dataset2_2500_1:625_5:625_10:625_20:625.p</t>
  </si>
  <si>
    <t>/home/mat/studia-repos/studio-projektowe/proversBenchmark-przemcom/../logit-formula-generator/test_data/data_set_2/dataset2_1000_1:333_5:333_10:333.p</t>
  </si>
  <si>
    <t>/home/mat/studia-repos/studio-projektowe/proversBenchmark-przemcom/../logit-formula-generator/test_data/data_set_2/dataset2_200_5:67_10:67_20:67.p</t>
  </si>
  <si>
    <t>/home/mat/studia-repos/studio-projektowe/proversBenchmark-przemcom/../logit-formula-generator/test_data/data_set_2/dataset2_200_1:50_5:50_10:50_20:50.p</t>
  </si>
  <si>
    <t>/home/mat/studia-repos/studio-projektowe/proversBenchmark-przemcom/../logit-formula-generator/test_data/data_set_2/dataset2_1000_1:10_5:330_10:330_20:330.p</t>
  </si>
  <si>
    <t>var / clauses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</si>
</sst>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81280"/>
        <c:axId val="24518592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0</c:formatCode>
                <c:ptCount val="3"/>
                <c:pt idx="0" formatCode="General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752128"/>
        <c:crosses val="autoZero"/>
        <c:crossBetween val="between"/>
      </c:valAx>
      <c:valAx>
        <c:axId val="2451859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4881280"/>
        <c:crosses val="max"/>
        <c:crossBetween val="between"/>
      </c:valAx>
      <c:catAx>
        <c:axId val="24488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51859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24576"/>
        <c:axId val="24519334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0</c:formatCode>
                <c:ptCount val="3"/>
                <c:pt idx="0" formatCode="General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150016"/>
        <c:crosses val="autoZero"/>
        <c:crossBetween val="between"/>
      </c:valAx>
      <c:valAx>
        <c:axId val="2451933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5224576"/>
        <c:crosses val="max"/>
        <c:crossBetween val="between"/>
      </c:valAx>
      <c:catAx>
        <c:axId val="2452245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51933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30976"/>
        <c:axId val="245224192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554112"/>
        <c:crosses val="autoZero"/>
        <c:crossBetween val="between"/>
      </c:valAx>
      <c:valAx>
        <c:axId val="24522419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5230976"/>
        <c:crosses val="max"/>
        <c:crossBetween val="between"/>
      </c:valAx>
      <c:catAx>
        <c:axId val="2452309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52241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39808"/>
        <c:axId val="24718400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391552"/>
        <c:crosses val="autoZero"/>
        <c:crossBetween val="between"/>
      </c:valAx>
      <c:valAx>
        <c:axId val="24718400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7239808"/>
        <c:crosses val="max"/>
        <c:crossBetween val="between"/>
      </c:valAx>
      <c:catAx>
        <c:axId val="24723980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71840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44128"/>
        <c:axId val="2473418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925504"/>
        <c:crosses val="autoZero"/>
        <c:crossBetween val="between"/>
      </c:valAx>
      <c:valAx>
        <c:axId val="2473418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7344128"/>
        <c:crosses val="max"/>
        <c:crossBetween val="between"/>
      </c:valAx>
      <c:catAx>
        <c:axId val="24734412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73418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5360"/>
        <c:axId val="2473482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7949312"/>
        <c:crosses val="autoZero"/>
        <c:crossBetween val="between"/>
      </c:valAx>
      <c:valAx>
        <c:axId val="2473482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7375360"/>
        <c:crosses val="max"/>
        <c:crossBetween val="between"/>
      </c:valAx>
      <c:catAx>
        <c:axId val="2473753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73482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20800"/>
        <c:axId val="247374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464128"/>
        <c:crosses val="autoZero"/>
        <c:crossBetween val="between"/>
      </c:valAx>
      <c:valAx>
        <c:axId val="2473749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7420800"/>
        <c:crosses val="max"/>
        <c:crossBetween val="between"/>
      </c:valAx>
      <c:catAx>
        <c:axId val="2474208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73749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5632"/>
        <c:axId val="2474204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08416"/>
        <c:crosses val="autoZero"/>
        <c:crossBetween val="between"/>
      </c:valAx>
      <c:valAx>
        <c:axId val="24742041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8885632"/>
        <c:crosses val="max"/>
        <c:crossBetween val="between"/>
      </c:valAx>
      <c:catAx>
        <c:axId val="2488856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742041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92032"/>
        <c:axId val="24888524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37856"/>
        <c:crosses val="autoZero"/>
        <c:crossBetween val="between"/>
      </c:valAx>
      <c:valAx>
        <c:axId val="24888524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8892032"/>
        <c:crosses val="max"/>
        <c:crossBetween val="between"/>
      </c:valAx>
      <c:catAx>
        <c:axId val="2488920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88852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cat>
          <c:val>
            <c:numRef>
              <c:f>Prover9!$Q$2:$Q$31</c:f>
              <c:numCache>
                <c:formatCode>0.00</c:formatCode>
                <c:ptCount val="3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63552"/>
        <c:axId val="24889126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598528"/>
        <c:crosses val="autoZero"/>
        <c:crossBetween val="between"/>
      </c:valAx>
      <c:valAx>
        <c:axId val="2488912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9463552"/>
        <c:crosses val="max"/>
        <c:crossBetween val="between"/>
      </c:valAx>
      <c:catAx>
        <c:axId val="2494635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88912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219340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276480"/>
        <c:crosses val="autoZero"/>
        <c:crossBetween val="between"/>
      </c:valAx>
      <c:valAx>
        <c:axId val="23219340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33265792"/>
        <c:crosses val="max"/>
        <c:crossBetween val="between"/>
      </c:valAx>
      <c:catAx>
        <c:axId val="23326579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219340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1952"/>
        <c:axId val="2506018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5603968"/>
        <c:crosses val="autoZero"/>
        <c:crossBetween val="between"/>
      </c:valAx>
      <c:valAx>
        <c:axId val="25060185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50621952"/>
        <c:crosses val="max"/>
        <c:crossBetween val="between"/>
      </c:valAx>
      <c:catAx>
        <c:axId val="250621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5060185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17920"/>
        <c:axId val="266033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5647872"/>
        <c:crosses val="autoZero"/>
        <c:crossBetween val="between"/>
      </c:valAx>
      <c:valAx>
        <c:axId val="2660330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8817920"/>
        <c:crosses val="max"/>
        <c:crossBetween val="between"/>
      </c:valAx>
      <c:catAx>
        <c:axId val="1388179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660330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65280"/>
        <c:axId val="1388629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5752960"/>
        <c:crosses val="autoZero"/>
        <c:crossBetween val="between"/>
      </c:valAx>
      <c:valAx>
        <c:axId val="1388629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8865280"/>
        <c:crosses val="max"/>
        <c:crossBetween val="between"/>
      </c:valAx>
      <c:catAx>
        <c:axId val="138865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388629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52352"/>
        <c:axId val="14398566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321152"/>
        <c:crosses val="autoZero"/>
        <c:crossBetween val="between"/>
      </c:valAx>
      <c:valAx>
        <c:axId val="1439856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33252352"/>
        <c:crosses val="max"/>
        <c:crossBetween val="between"/>
      </c:valAx>
      <c:catAx>
        <c:axId val="2332523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439856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072"/>
        <c:axId val="238478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6352768"/>
        <c:crosses val="autoZero"/>
        <c:crossBetween val="between"/>
      </c:valAx>
      <c:valAx>
        <c:axId val="23847884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44675072"/>
        <c:crosses val="max"/>
        <c:crossBetween val="between"/>
      </c:valAx>
      <c:catAx>
        <c:axId val="446750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84788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04608"/>
        <c:axId val="13320230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183232"/>
        <c:crosses val="autoZero"/>
        <c:crossBetween val="between"/>
      </c:valAx>
      <c:valAx>
        <c:axId val="13320230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3204608"/>
        <c:crosses val="max"/>
        <c:crossBetween val="between"/>
      </c:valAx>
      <c:catAx>
        <c:axId val="13320460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3320230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727168"/>
        <c:axId val="2447248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239808"/>
        <c:crosses val="autoZero"/>
        <c:crossBetween val="between"/>
      </c:valAx>
      <c:valAx>
        <c:axId val="244724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4727168"/>
        <c:crosses val="max"/>
        <c:crossBetween val="between"/>
      </c:valAx>
      <c:catAx>
        <c:axId val="2447271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47248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44416"/>
        <c:axId val="2447312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280000"/>
        <c:crosses val="autoZero"/>
        <c:crossBetween val="between"/>
      </c:valAx>
      <c:valAx>
        <c:axId val="2447312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44844416"/>
        <c:crosses val="max"/>
        <c:crossBetween val="between"/>
      </c:valAx>
      <c:catAx>
        <c:axId val="2448444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47312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cat>
          <c:val>
            <c:numRef>
              <c:f>SPASS!$Q$2:$Q$31</c:f>
              <c:numCache>
                <c:formatCode>0.00</c:formatCode>
                <c:ptCount val="22"/>
                <c:pt idx="0">
                  <c:v>2.5757575757575757</c:v>
                </c:pt>
                <c:pt idx="1">
                  <c:v>3.01</c:v>
                </c:pt>
                <c:pt idx="2">
                  <c:v>4.34</c:v>
                </c:pt>
                <c:pt idx="3">
                  <c:v>2.5422885572139302</c:v>
                </c:pt>
                <c:pt idx="4">
                  <c:v>2.7050000000000001</c:v>
                </c:pt>
                <c:pt idx="5">
                  <c:v>5.49</c:v>
                </c:pt>
                <c:pt idx="6">
                  <c:v>5.9494949494949498</c:v>
                </c:pt>
                <c:pt idx="7">
                  <c:v>4.3949999999999996</c:v>
                </c:pt>
                <c:pt idx="8">
                  <c:v>5.7711442786069655</c:v>
                </c:pt>
                <c:pt idx="9">
                  <c:v>5.875</c:v>
                </c:pt>
                <c:pt idx="10">
                  <c:v>2.6427145708582835</c:v>
                </c:pt>
                <c:pt idx="11">
                  <c:v>2.718</c:v>
                </c:pt>
                <c:pt idx="12">
                  <c:v>4.4260000000000002</c:v>
                </c:pt>
                <c:pt idx="13">
                  <c:v>2.6526526526526526</c:v>
                </c:pt>
                <c:pt idx="14">
                  <c:v>2.7549999999999999</c:v>
                </c:pt>
                <c:pt idx="15">
                  <c:v>5.7759999999999998</c:v>
                </c:pt>
                <c:pt idx="16">
                  <c:v>5.8762475049900198</c:v>
                </c:pt>
                <c:pt idx="17">
                  <c:v>4.423</c:v>
                </c:pt>
                <c:pt idx="18">
                  <c:v>5.7569999999999997</c:v>
                </c:pt>
                <c:pt idx="19">
                  <c:v>5.9079079079079078</c:v>
                </c:pt>
                <c:pt idx="20">
                  <c:v>2.6850740296118447</c:v>
                </c:pt>
                <c:pt idx="21">
                  <c:v>2.7595999999999998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74688"/>
        <c:axId val="244848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316096"/>
        <c:crosses val="autoZero"/>
        <c:crossBetween val="between"/>
      </c:valAx>
      <c:valAx>
        <c:axId val="24484889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36274688"/>
        <c:crosses val="max"/>
        <c:crossBetween val="between"/>
      </c:valAx>
      <c:catAx>
        <c:axId val="1362746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48488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43543</xdr:rowOff>
    </xdr:from>
    <xdr:to>
      <xdr:col>2</xdr:col>
      <xdr:colOff>1680483</xdr:colOff>
      <xdr:row>57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59</xdr:row>
      <xdr:rowOff>84366</xdr:rowOff>
    </xdr:from>
    <xdr:to>
      <xdr:col>2</xdr:col>
      <xdr:colOff>1666877</xdr:colOff>
      <xdr:row>84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33</xdr:row>
      <xdr:rowOff>40822</xdr:rowOff>
    </xdr:from>
    <xdr:to>
      <xdr:col>3</xdr:col>
      <xdr:colOff>3878037</xdr:colOff>
      <xdr:row>57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33</xdr:row>
      <xdr:rowOff>13607</xdr:rowOff>
    </xdr:from>
    <xdr:to>
      <xdr:col>8</xdr:col>
      <xdr:colOff>1796145</xdr:colOff>
      <xdr:row>57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33</xdr:row>
      <xdr:rowOff>0</xdr:rowOff>
    </xdr:from>
    <xdr:to>
      <xdr:col>10</xdr:col>
      <xdr:colOff>462645</xdr:colOff>
      <xdr:row>57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33</xdr:row>
      <xdr:rowOff>0</xdr:rowOff>
    </xdr:from>
    <xdr:to>
      <xdr:col>11</xdr:col>
      <xdr:colOff>3401787</xdr:colOff>
      <xdr:row>57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59</xdr:row>
      <xdr:rowOff>95249</xdr:rowOff>
    </xdr:from>
    <xdr:to>
      <xdr:col>3</xdr:col>
      <xdr:colOff>3871233</xdr:colOff>
      <xdr:row>84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59</xdr:row>
      <xdr:rowOff>136071</xdr:rowOff>
    </xdr:from>
    <xdr:to>
      <xdr:col>8</xdr:col>
      <xdr:colOff>1789340</xdr:colOff>
      <xdr:row>84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59</xdr:row>
      <xdr:rowOff>149677</xdr:rowOff>
    </xdr:from>
    <xdr:to>
      <xdr:col>10</xdr:col>
      <xdr:colOff>483055</xdr:colOff>
      <xdr:row>85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59</xdr:row>
      <xdr:rowOff>136071</xdr:rowOff>
    </xdr:from>
    <xdr:to>
      <xdr:col>11</xdr:col>
      <xdr:colOff>3381376</xdr:colOff>
      <xdr:row>85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95250</xdr:rowOff>
        </xdr:from>
        <xdr:to>
          <xdr:col>12</xdr:col>
          <xdr:colOff>4343400</xdr:colOff>
          <xdr:row>40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68"/>
      <queryTableField id="2" name="program_name.test_cases.name" tableColumnId="69"/>
      <queryTableField id="3" name="program_name.test_cases.execution_statistics.execution_time" tableColumnId="70"/>
      <queryTableField id="4" name="program_name.test_cases.execution_statistics.peak_memory" tableColumnId="71"/>
      <queryTableField id="5" name="program_name.test_cases.input.path" tableColumnId="72"/>
      <queryTableField id="6" name="program_name.test_cases.input.SAT_type" tableColumnId="73"/>
      <queryTableField id="7" name="program_name.test_cases.input.format" tableColumnId="74"/>
      <queryTableField id="8" name="program_name.test_cases.input.number_of_clauses" tableColumnId="75"/>
      <queryTableField id="9" name="program_name.test_cases.input.number_of_atoms" tableColumnId="76"/>
      <queryTableField id="10" name="program_name.test_cases.input.maximal_clause_size" tableColumnId="77"/>
      <queryTableField id="11" name="program_name.test_cases.input.number_of_predicates" tableColumnId="78"/>
      <queryTableField id="12" name="program_name.test_cases.input.number_of_functors" tableColumnId="79"/>
      <queryTableField id="13" name="program_name.test_cases.input.number_of_variables" tableColumnId="80"/>
      <queryTableField id="14" name="program_name.test_cases.input.maximal_term_depth" tableColumnId="81"/>
      <queryTableField id="15" name="program_name.test_cases.output.returncode" tableColumnId="82"/>
      <queryTableField id="16" name="program_name.test_cases.output.status" tableColumnId="83"/>
      <queryTableField id="17" dataBound="0" tableColumnId="1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68"/>
      <queryTableField id="2" name="program_name.test_cases.name" tableColumnId="69"/>
      <queryTableField id="3" name="program_name.test_cases.execution_statistics.execution_time" tableColumnId="70"/>
      <queryTableField id="4" name="program_name.test_cases.execution_statistics.peak_memory" tableColumnId="71"/>
      <queryTableField id="5" name="program_name.test_cases.input.path" tableColumnId="72"/>
      <queryTableField id="6" name="program_name.test_cases.input.SAT_type" tableColumnId="73"/>
      <queryTableField id="7" name="program_name.test_cases.input.format" tableColumnId="74"/>
      <queryTableField id="8" name="program_name.test_cases.input.number_of_clauses" tableColumnId="75"/>
      <queryTableField id="9" name="program_name.test_cases.input.number_of_atoms" tableColumnId="76"/>
      <queryTableField id="10" name="program_name.test_cases.input.maximal_clause_size" tableColumnId="77"/>
      <queryTableField id="11" name="program_name.test_cases.input.number_of_predicates" tableColumnId="78"/>
      <queryTableField id="12" name="program_name.test_cases.input.number_of_functors" tableColumnId="79"/>
      <queryTableField id="13" name="program_name.test_cases.input.number_of_variables" tableColumnId="80"/>
      <queryTableField id="14" name="program_name.test_cases.input.maximal_term_depth" tableColumnId="81"/>
      <queryTableField id="15" name="program_name.test_cases.output.returncode" tableColumnId="82"/>
      <queryTableField id="16" name="program_name.test_cases.output.status" tableColumnId="83"/>
      <queryTableField id="17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Query1" displayName="Query1" ref="A1:Q31" tableType="queryTable" totalsRowShown="0">
  <autoFilter ref="A1:Q31">
    <filterColumn colId="15">
      <filters>
        <filter val="satisfiable"/>
        <filter val="unsatisfiable"/>
      </filters>
    </filterColumn>
  </autoFilter>
  <sortState ref="A2:P5">
    <sortCondition ref="M2"/>
  </sortState>
  <tableColumns count="17">
    <tableColumn id="68" uniqueName="68" name="program_name.program_name" queryTableFieldId="1" dataDxfId="33"/>
    <tableColumn id="69" uniqueName="69" name="program_name.test_cases.name" queryTableFieldId="2" dataDxfId="32"/>
    <tableColumn id="70" uniqueName="70" name="program_name.test_cases.execution_statistics.execution_time" queryTableFieldId="3" dataDxfId="31"/>
    <tableColumn id="71" uniqueName="71" name="program_name.test_cases.execution_statistics.peak_memory" queryTableFieldId="4" dataDxfId="30"/>
    <tableColumn id="72" uniqueName="72" name="program_name.test_cases.input.path" queryTableFieldId="5" dataDxfId="29"/>
    <tableColumn id="73" uniqueName="73" name="program_name.test_cases.input.SAT_type" queryTableFieldId="6" dataDxfId="28"/>
    <tableColumn id="74" uniqueName="74" name="program_name.test_cases.input.format" queryTableFieldId="7" dataDxfId="27"/>
    <tableColumn id="75" uniqueName="75" name="program_name.test_cases.input.number_of_clauses" queryTableFieldId="8" dataDxfId="26"/>
    <tableColumn id="76" uniqueName="76" name="program_name.test_cases.input.number_of_atoms" queryTableFieldId="9" dataDxfId="25"/>
    <tableColumn id="77" uniqueName="77" name="program_name.test_cases.input.maximal_clause_size" queryTableFieldId="10" dataDxfId="24"/>
    <tableColumn id="78" uniqueName="78" name="program_name.test_cases.input.number_of_predicates" queryTableFieldId="11" dataDxfId="23"/>
    <tableColumn id="79" uniqueName="79" name="program_name.test_cases.input.number_of_functors" queryTableFieldId="12" dataDxfId="22"/>
    <tableColumn id="80" uniqueName="80" name="program_name.test_cases.input.number_of_variables" queryTableFieldId="13" dataDxfId="21"/>
    <tableColumn id="81" uniqueName="81" name="program_name.test_cases.input.maximal_term_depth" queryTableFieldId="14" dataDxfId="20"/>
    <tableColumn id="82" uniqueName="82" name="program_name.test_cases.output.returncode" queryTableFieldId="15" dataDxfId="19"/>
    <tableColumn id="83" uniqueName="83" name="program_name.test_cases.output.status" queryTableFieldId="16" dataDxfId="18"/>
    <tableColumn id="1" uniqueName="1" name="var / clauses" queryTableFieldId="17" dataDxfId="17">
      <calculatedColumnFormula>Query1[[#This Row],[program_name.test_cases.input.number_of_variables]]/H2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Query13" displayName="Query13" ref="A1:Q31" tableType="queryTable" totalsRowShown="0">
  <autoFilter ref="A1:Q31">
    <filterColumn colId="15">
      <filters>
        <filter val="satisfiable"/>
      </filters>
    </filterColumn>
  </autoFilter>
  <sortState ref="A2:P23">
    <sortCondition ref="K2"/>
  </sortState>
  <tableColumns count="17">
    <tableColumn id="68" uniqueName="68" name="program_name.program_name" queryTableFieldId="1" dataDxfId="16"/>
    <tableColumn id="69" uniqueName="69" name="program_name.test_cases.name" queryTableFieldId="2" dataDxfId="15"/>
    <tableColumn id="70" uniqueName="70" name="program_name.test_cases.execution_statistics.execution_time" queryTableFieldId="3" dataDxfId="14"/>
    <tableColumn id="71" uniqueName="71" name="program_name.test_cases.execution_statistics.peak_memory" queryTableFieldId="4" dataDxfId="13"/>
    <tableColumn id="72" uniqueName="72" name="program_name.test_cases.input.path" queryTableFieldId="5" dataDxfId="12"/>
    <tableColumn id="73" uniqueName="73" name="program_name.test_cases.input.SAT_type" queryTableFieldId="6" dataDxfId="11"/>
    <tableColumn id="74" uniqueName="74" name="program_name.test_cases.input.format" queryTableFieldId="7" dataDxfId="10"/>
    <tableColumn id="75" uniqueName="75" name="program_name.test_cases.input.number_of_clauses" queryTableFieldId="8" dataDxfId="9"/>
    <tableColumn id="76" uniqueName="76" name="program_name.test_cases.input.number_of_atoms" queryTableFieldId="9" dataDxfId="8"/>
    <tableColumn id="77" uniqueName="77" name="program_name.test_cases.input.maximal_clause_size" queryTableFieldId="10" dataDxfId="7"/>
    <tableColumn id="78" uniqueName="78" name="program_name.test_cases.input.number_of_predicates" queryTableFieldId="11" dataDxfId="6"/>
    <tableColumn id="79" uniqueName="79" name="program_name.test_cases.input.number_of_functors" queryTableFieldId="12" dataDxfId="5"/>
    <tableColumn id="80" uniqueName="80" name="program_name.test_cases.input.number_of_variables" queryTableFieldId="13" dataDxfId="4"/>
    <tableColumn id="81" uniqueName="81" name="program_name.test_cases.input.maximal_term_depth" queryTableFieldId="14" dataDxfId="3"/>
    <tableColumn id="82" uniqueName="82" name="program_name.test_cases.output.returncode" queryTableFieldId="15" dataDxfId="2"/>
    <tableColumn id="83" uniqueName="83" name="program_name.test_cases.output.status" queryTableFieldId="16" dataDxfId="1"/>
    <tableColumn id="1" uniqueName="1" name="var / clauses" queryTableFieldId="17" dataDxfId="0">
      <calculatedColumnFormula>Query13[[#This Row],[program_name.test_cases.input.number_of_variables]]/H2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61"/>
  <sheetViews>
    <sheetView tabSelected="1" zoomScale="70" zoomScaleNormal="70" workbookViewId="0">
      <selection activeCell="P56" sqref="P56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86</v>
      </c>
    </row>
    <row r="2" spans="1:17" x14ac:dyDescent="0.25">
      <c r="A2" s="1" t="s">
        <v>13</v>
      </c>
      <c r="B2" s="1" t="s">
        <v>14</v>
      </c>
      <c r="C2" s="5">
        <v>6.9238499003404286E-2</v>
      </c>
      <c r="D2" s="3">
        <v>3026944</v>
      </c>
      <c r="E2" s="1" t="s">
        <v>39</v>
      </c>
      <c r="F2" s="1" t="s">
        <v>25</v>
      </c>
      <c r="G2" s="1" t="s">
        <v>26</v>
      </c>
      <c r="H2" s="1">
        <v>99</v>
      </c>
      <c r="I2" s="3">
        <v>528</v>
      </c>
      <c r="J2" s="3">
        <v>10</v>
      </c>
      <c r="K2" s="3">
        <v>348</v>
      </c>
      <c r="L2" s="3">
        <v>253</v>
      </c>
      <c r="M2" s="3">
        <v>255</v>
      </c>
      <c r="N2" s="2" t="s">
        <v>15</v>
      </c>
      <c r="O2" s="1">
        <v>2</v>
      </c>
      <c r="P2" s="1" t="s">
        <v>18</v>
      </c>
      <c r="Q2" s="2">
        <f>Query1[[#This Row],[program_name.test_cases.input.number_of_variables]]/H2</f>
        <v>2.5757575757575757</v>
      </c>
    </row>
    <row r="3" spans="1:17" hidden="1" x14ac:dyDescent="0.25">
      <c r="A3" s="1" t="s">
        <v>13</v>
      </c>
      <c r="B3" s="1" t="s">
        <v>14</v>
      </c>
      <c r="C3" s="5">
        <v>299.99904355999752</v>
      </c>
      <c r="D3" s="3">
        <v>3293184</v>
      </c>
      <c r="E3" s="1" t="s">
        <v>47</v>
      </c>
      <c r="F3" s="1" t="s">
        <v>25</v>
      </c>
      <c r="G3" s="1" t="s">
        <v>26</v>
      </c>
      <c r="H3" s="1">
        <v>99</v>
      </c>
      <c r="I3" s="2">
        <v>1155</v>
      </c>
      <c r="J3" s="2">
        <v>20</v>
      </c>
      <c r="K3" s="2">
        <v>730</v>
      </c>
      <c r="L3" s="2">
        <v>536</v>
      </c>
      <c r="M3" s="2">
        <v>589</v>
      </c>
      <c r="N3" s="2" t="s">
        <v>15</v>
      </c>
      <c r="O3" s="1"/>
      <c r="P3" s="1" t="s">
        <v>16</v>
      </c>
      <c r="Q3" s="2">
        <f>Query1[[#This Row],[program_name.test_cases.input.number_of_variables]]/H3</f>
        <v>5.9494949494949498</v>
      </c>
    </row>
    <row r="4" spans="1:17" x14ac:dyDescent="0.25">
      <c r="A4" s="1" t="s">
        <v>13</v>
      </c>
      <c r="B4" s="1" t="s">
        <v>14</v>
      </c>
      <c r="C4" s="5">
        <v>5.7750323001528159E-2</v>
      </c>
      <c r="D4" s="3">
        <v>3031040</v>
      </c>
      <c r="E4" s="1" t="s">
        <v>32</v>
      </c>
      <c r="F4" s="1" t="s">
        <v>25</v>
      </c>
      <c r="G4" s="1" t="s">
        <v>26</v>
      </c>
      <c r="H4" s="3">
        <v>100</v>
      </c>
      <c r="I4" s="3">
        <v>548</v>
      </c>
      <c r="J4" s="3">
        <v>20</v>
      </c>
      <c r="K4" s="3">
        <v>361</v>
      </c>
      <c r="L4" s="3">
        <v>232</v>
      </c>
      <c r="M4" s="3">
        <v>301</v>
      </c>
      <c r="N4" s="2" t="s">
        <v>15</v>
      </c>
      <c r="O4" s="1">
        <v>0</v>
      </c>
      <c r="P4" s="1" t="s">
        <v>17</v>
      </c>
      <c r="Q4" s="2">
        <f>Query1[[#This Row],[program_name.test_cases.input.number_of_variables]]/H4</f>
        <v>3.01</v>
      </c>
    </row>
    <row r="5" spans="1:17" x14ac:dyDescent="0.25">
      <c r="A5" s="1" t="s">
        <v>13</v>
      </c>
      <c r="B5" s="1" t="s">
        <v>14</v>
      </c>
      <c r="C5" s="5">
        <v>0.11709887700271791</v>
      </c>
      <c r="D5" s="3">
        <v>3174400</v>
      </c>
      <c r="E5" s="1" t="s">
        <v>40</v>
      </c>
      <c r="F5" s="1" t="s">
        <v>25</v>
      </c>
      <c r="G5" s="1" t="s">
        <v>26</v>
      </c>
      <c r="H5" s="3">
        <v>100</v>
      </c>
      <c r="I5" s="3">
        <v>900</v>
      </c>
      <c r="J5" s="3">
        <v>20</v>
      </c>
      <c r="K5" s="3">
        <v>563</v>
      </c>
      <c r="L5" s="3">
        <v>433</v>
      </c>
      <c r="M5" s="3">
        <v>434</v>
      </c>
      <c r="N5" s="2" t="s">
        <v>15</v>
      </c>
      <c r="O5" s="1">
        <v>2</v>
      </c>
      <c r="P5" s="1" t="s">
        <v>18</v>
      </c>
      <c r="Q5" s="2">
        <f>Query1[[#This Row],[program_name.test_cases.input.number_of_variables]]/H5</f>
        <v>4.34</v>
      </c>
    </row>
    <row r="6" spans="1:17" hidden="1" x14ac:dyDescent="0.25">
      <c r="A6" s="1" t="s">
        <v>13</v>
      </c>
      <c r="B6" s="1" t="s">
        <v>14</v>
      </c>
      <c r="C6" s="5">
        <v>299.99943305100169</v>
      </c>
      <c r="D6" s="3">
        <v>3268608</v>
      </c>
      <c r="E6" s="1" t="s">
        <v>46</v>
      </c>
      <c r="F6" s="1" t="s">
        <v>25</v>
      </c>
      <c r="G6" s="1" t="s">
        <v>26</v>
      </c>
      <c r="H6" s="1">
        <v>100</v>
      </c>
      <c r="I6" s="2">
        <v>1156</v>
      </c>
      <c r="J6" s="2">
        <v>20</v>
      </c>
      <c r="K6" s="2">
        <v>708</v>
      </c>
      <c r="L6" s="2">
        <v>583</v>
      </c>
      <c r="M6" s="2">
        <v>549</v>
      </c>
      <c r="N6" s="2" t="s">
        <v>15</v>
      </c>
      <c r="O6" s="1"/>
      <c r="P6" s="1" t="s">
        <v>16</v>
      </c>
      <c r="Q6" s="2">
        <f>Query1[[#This Row],[program_name.test_cases.input.number_of_variables]]/H6</f>
        <v>5.49</v>
      </c>
    </row>
    <row r="7" spans="1:17" hidden="1" x14ac:dyDescent="0.25">
      <c r="A7" s="1" t="s">
        <v>13</v>
      </c>
      <c r="B7" s="1" t="s">
        <v>14</v>
      </c>
      <c r="C7" s="5">
        <v>299.99901779100037</v>
      </c>
      <c r="D7" s="3">
        <v>3211264</v>
      </c>
      <c r="E7" s="1" t="s">
        <v>41</v>
      </c>
      <c r="F7" s="1" t="s">
        <v>25</v>
      </c>
      <c r="G7" s="1" t="s">
        <v>26</v>
      </c>
      <c r="H7" s="1">
        <v>200</v>
      </c>
      <c r="I7" s="2">
        <v>1096</v>
      </c>
      <c r="J7" s="2">
        <v>20</v>
      </c>
      <c r="K7" s="2">
        <v>684</v>
      </c>
      <c r="L7" s="2">
        <v>540</v>
      </c>
      <c r="M7" s="2">
        <v>541</v>
      </c>
      <c r="N7" s="2" t="s">
        <v>15</v>
      </c>
      <c r="O7" s="1"/>
      <c r="P7" s="1" t="s">
        <v>16</v>
      </c>
      <c r="Q7" s="2">
        <f>Query1[[#This Row],[program_name.test_cases.input.number_of_variables]]/H7</f>
        <v>2.7050000000000001</v>
      </c>
    </row>
    <row r="8" spans="1:17" hidden="1" x14ac:dyDescent="0.25">
      <c r="A8" s="1" t="s">
        <v>13</v>
      </c>
      <c r="B8" s="1" t="s">
        <v>14</v>
      </c>
      <c r="C8" s="5">
        <v>300.0002359459977</v>
      </c>
      <c r="D8" s="3">
        <v>4042752</v>
      </c>
      <c r="E8" s="1" t="s">
        <v>50</v>
      </c>
      <c r="F8" s="1" t="s">
        <v>25</v>
      </c>
      <c r="G8" s="1" t="s">
        <v>26</v>
      </c>
      <c r="H8" s="1">
        <v>200</v>
      </c>
      <c r="I8" s="2">
        <v>2312</v>
      </c>
      <c r="J8" s="2">
        <v>20</v>
      </c>
      <c r="K8" s="2">
        <v>1455</v>
      </c>
      <c r="L8" s="2">
        <v>1098</v>
      </c>
      <c r="M8" s="2">
        <v>1175</v>
      </c>
      <c r="N8" s="2" t="s">
        <v>15</v>
      </c>
      <c r="O8" s="1"/>
      <c r="P8" s="1" t="s">
        <v>16</v>
      </c>
      <c r="Q8" s="2">
        <f>Query1[[#This Row],[program_name.test_cases.input.number_of_variables]]/H8</f>
        <v>5.875</v>
      </c>
    </row>
    <row r="9" spans="1:17" hidden="1" x14ac:dyDescent="0.25">
      <c r="A9" s="1" t="s">
        <v>13</v>
      </c>
      <c r="B9" s="1" t="s">
        <v>14</v>
      </c>
      <c r="C9" s="5">
        <v>299.99863423999341</v>
      </c>
      <c r="D9" s="3">
        <v>3772416</v>
      </c>
      <c r="E9" s="1" t="s">
        <v>54</v>
      </c>
      <c r="F9" s="1" t="s">
        <v>25</v>
      </c>
      <c r="G9" s="1" t="s">
        <v>26</v>
      </c>
      <c r="H9" s="1">
        <v>200</v>
      </c>
      <c r="I9" s="2">
        <v>1800</v>
      </c>
      <c r="J9" s="2">
        <v>20</v>
      </c>
      <c r="K9" s="2">
        <v>1153</v>
      </c>
      <c r="L9" s="2">
        <v>894</v>
      </c>
      <c r="M9" s="2">
        <v>879</v>
      </c>
      <c r="N9" s="2" t="s">
        <v>15</v>
      </c>
      <c r="O9" s="1"/>
      <c r="P9" s="1" t="s">
        <v>16</v>
      </c>
      <c r="Q9" s="2">
        <f>Query1[[#This Row],[program_name.test_cases.input.number_of_variables]]/H9</f>
        <v>4.3949999999999996</v>
      </c>
    </row>
    <row r="10" spans="1:17" hidden="1" x14ac:dyDescent="0.25">
      <c r="A10" s="1" t="s">
        <v>13</v>
      </c>
      <c r="B10" s="1" t="s">
        <v>14</v>
      </c>
      <c r="C10" s="5">
        <v>299.99819121100154</v>
      </c>
      <c r="D10" s="3">
        <v>3321856</v>
      </c>
      <c r="E10" s="1" t="s">
        <v>38</v>
      </c>
      <c r="F10" s="1" t="s">
        <v>25</v>
      </c>
      <c r="G10" s="1" t="s">
        <v>26</v>
      </c>
      <c r="H10" s="1">
        <v>201</v>
      </c>
      <c r="I10" s="2">
        <v>1072</v>
      </c>
      <c r="J10" s="2">
        <v>10</v>
      </c>
      <c r="K10" s="2">
        <v>669</v>
      </c>
      <c r="L10" s="2">
        <v>547</v>
      </c>
      <c r="M10" s="2">
        <v>511</v>
      </c>
      <c r="N10" s="2" t="s">
        <v>15</v>
      </c>
      <c r="O10" s="1"/>
      <c r="P10" s="1" t="s">
        <v>16</v>
      </c>
      <c r="Q10" s="2">
        <f>Query1[[#This Row],[program_name.test_cases.input.number_of_variables]]/H10</f>
        <v>2.5422885572139302</v>
      </c>
    </row>
    <row r="11" spans="1:17" hidden="1" x14ac:dyDescent="0.25">
      <c r="A11" s="1" t="s">
        <v>13</v>
      </c>
      <c r="B11" s="1" t="s">
        <v>14</v>
      </c>
      <c r="C11" s="5">
        <v>299.99850680401141</v>
      </c>
      <c r="D11" s="3">
        <v>4124672</v>
      </c>
      <c r="E11" s="1" t="s">
        <v>53</v>
      </c>
      <c r="F11" s="1" t="s">
        <v>25</v>
      </c>
      <c r="G11" s="1" t="s">
        <v>26</v>
      </c>
      <c r="H11" s="1">
        <v>201</v>
      </c>
      <c r="I11" s="2">
        <v>2345</v>
      </c>
      <c r="J11" s="2">
        <v>20</v>
      </c>
      <c r="K11" s="2">
        <v>1442</v>
      </c>
      <c r="L11" s="2">
        <v>1150</v>
      </c>
      <c r="M11" s="2">
        <v>1160</v>
      </c>
      <c r="N11" s="2" t="s">
        <v>15</v>
      </c>
      <c r="O11" s="1"/>
      <c r="P11" s="1" t="s">
        <v>16</v>
      </c>
      <c r="Q11" s="2">
        <f>Query1[[#This Row],[program_name.test_cases.input.number_of_variables]]/H11</f>
        <v>5.7711442786069655</v>
      </c>
    </row>
    <row r="12" spans="1:17" hidden="1" x14ac:dyDescent="0.25">
      <c r="A12" s="1" t="s">
        <v>13</v>
      </c>
      <c r="B12" s="1" t="s">
        <v>14</v>
      </c>
      <c r="C12" s="5">
        <v>300.00018036699475</v>
      </c>
      <c r="D12" s="3">
        <v>4096000</v>
      </c>
      <c r="E12" s="1" t="s">
        <v>24</v>
      </c>
      <c r="F12" s="1" t="s">
        <v>25</v>
      </c>
      <c r="G12" s="1" t="s">
        <v>26</v>
      </c>
      <c r="H12" s="1">
        <v>500</v>
      </c>
      <c r="I12" s="2">
        <v>2740</v>
      </c>
      <c r="J12" s="2">
        <v>20</v>
      </c>
      <c r="K12" s="2">
        <v>1742</v>
      </c>
      <c r="L12" s="2">
        <v>1350</v>
      </c>
      <c r="M12" s="2">
        <v>1359</v>
      </c>
      <c r="N12" s="2" t="s">
        <v>15</v>
      </c>
      <c r="O12" s="1"/>
      <c r="P12" s="1" t="s">
        <v>16</v>
      </c>
      <c r="Q12" s="2">
        <f>Query1[[#This Row],[program_name.test_cases.input.number_of_variables]]/H12</f>
        <v>2.718</v>
      </c>
    </row>
    <row r="13" spans="1:17" hidden="1" x14ac:dyDescent="0.25">
      <c r="A13" s="1" t="s">
        <v>13</v>
      </c>
      <c r="B13" s="1" t="s">
        <v>14</v>
      </c>
      <c r="C13" s="5">
        <v>299.99984253900038</v>
      </c>
      <c r="D13" s="3">
        <v>4890624</v>
      </c>
      <c r="E13" s="1" t="s">
        <v>27</v>
      </c>
      <c r="F13" s="1" t="s">
        <v>25</v>
      </c>
      <c r="G13" s="1" t="s">
        <v>26</v>
      </c>
      <c r="H13" s="1">
        <v>500</v>
      </c>
      <c r="I13" s="2">
        <v>4500</v>
      </c>
      <c r="J13" s="2">
        <v>20</v>
      </c>
      <c r="K13" s="2">
        <v>2781</v>
      </c>
      <c r="L13" s="2">
        <v>2238</v>
      </c>
      <c r="M13" s="2">
        <v>2213</v>
      </c>
      <c r="N13" s="2" t="s">
        <v>15</v>
      </c>
      <c r="O13" s="1"/>
      <c r="P13" s="1" t="s">
        <v>16</v>
      </c>
      <c r="Q13" s="2">
        <f>Query1[[#This Row],[program_name.test_cases.input.number_of_variables]]/H13</f>
        <v>4.4260000000000002</v>
      </c>
    </row>
    <row r="14" spans="1:17" hidden="1" x14ac:dyDescent="0.25">
      <c r="A14" s="1" t="s">
        <v>13</v>
      </c>
      <c r="B14" s="1" t="s">
        <v>14</v>
      </c>
      <c r="C14" s="5">
        <v>299.99987289300043</v>
      </c>
      <c r="D14" s="3">
        <v>5312512</v>
      </c>
      <c r="E14" s="1" t="s">
        <v>49</v>
      </c>
      <c r="F14" s="1" t="s">
        <v>25</v>
      </c>
      <c r="G14" s="1" t="s">
        <v>26</v>
      </c>
      <c r="H14" s="1">
        <v>500</v>
      </c>
      <c r="I14" s="2">
        <v>5780</v>
      </c>
      <c r="J14" s="2">
        <v>20</v>
      </c>
      <c r="K14" s="2">
        <v>3640</v>
      </c>
      <c r="L14" s="2">
        <v>2850</v>
      </c>
      <c r="M14" s="2">
        <v>2888</v>
      </c>
      <c r="N14" s="2" t="s">
        <v>15</v>
      </c>
      <c r="O14" s="1"/>
      <c r="P14" s="1" t="s">
        <v>16</v>
      </c>
      <c r="Q14" s="2">
        <f>Query1[[#This Row],[program_name.test_cases.input.number_of_variables]]/H14</f>
        <v>5.7759999999999998</v>
      </c>
    </row>
    <row r="15" spans="1:17" hidden="1" x14ac:dyDescent="0.25">
      <c r="A15" s="1" t="s">
        <v>13</v>
      </c>
      <c r="B15" s="1" t="s">
        <v>14</v>
      </c>
      <c r="C15" s="5">
        <v>299.99967917600588</v>
      </c>
      <c r="D15" s="3">
        <v>5427200</v>
      </c>
      <c r="E15" s="1" t="s">
        <v>44</v>
      </c>
      <c r="F15" s="1" t="s">
        <v>25</v>
      </c>
      <c r="G15" s="1" t="s">
        <v>26</v>
      </c>
      <c r="H15" s="1">
        <v>501</v>
      </c>
      <c r="I15" s="2">
        <v>5845</v>
      </c>
      <c r="J15" s="2">
        <v>20</v>
      </c>
      <c r="K15" s="2">
        <v>3725</v>
      </c>
      <c r="L15" s="2">
        <v>2860</v>
      </c>
      <c r="M15" s="2">
        <v>2944</v>
      </c>
      <c r="N15" s="2" t="s">
        <v>15</v>
      </c>
      <c r="O15" s="1"/>
      <c r="P15" s="1" t="s">
        <v>16</v>
      </c>
      <c r="Q15" s="2">
        <f>Query1[[#This Row],[program_name.test_cases.input.number_of_variables]]/H15</f>
        <v>5.8762475049900198</v>
      </c>
    </row>
    <row r="16" spans="1:17" hidden="1" x14ac:dyDescent="0.25">
      <c r="A16" s="1" t="s">
        <v>13</v>
      </c>
      <c r="B16" s="1" t="s">
        <v>14</v>
      </c>
      <c r="C16" s="5">
        <v>299.999067913006</v>
      </c>
      <c r="D16" s="3">
        <v>4141056</v>
      </c>
      <c r="E16" s="1" t="s">
        <v>48</v>
      </c>
      <c r="F16" s="1" t="s">
        <v>25</v>
      </c>
      <c r="G16" s="1" t="s">
        <v>26</v>
      </c>
      <c r="H16" s="1">
        <v>501</v>
      </c>
      <c r="I16" s="2">
        <v>2672</v>
      </c>
      <c r="J16" s="2">
        <v>10</v>
      </c>
      <c r="K16" s="2">
        <v>1693</v>
      </c>
      <c r="L16" s="2">
        <v>1326</v>
      </c>
      <c r="M16" s="2">
        <v>1324</v>
      </c>
      <c r="N16" s="2" t="s">
        <v>15</v>
      </c>
      <c r="O16" s="1"/>
      <c r="P16" s="1" t="s">
        <v>16</v>
      </c>
      <c r="Q16" s="2">
        <f>Query1[[#This Row],[program_name.test_cases.input.number_of_variables]]/H16</f>
        <v>2.6427145708582835</v>
      </c>
    </row>
    <row r="17" spans="1:17" hidden="1" x14ac:dyDescent="0.25">
      <c r="A17" s="1" t="s">
        <v>13</v>
      </c>
      <c r="B17" s="1" t="s">
        <v>14</v>
      </c>
      <c r="C17" s="5">
        <v>299.99970692499483</v>
      </c>
      <c r="D17" s="3">
        <v>8286208</v>
      </c>
      <c r="E17" s="1" t="s">
        <v>33</v>
      </c>
      <c r="F17" s="1" t="s">
        <v>25</v>
      </c>
      <c r="G17" s="1" t="s">
        <v>26</v>
      </c>
      <c r="H17" s="1">
        <v>999</v>
      </c>
      <c r="I17" s="2">
        <v>11655</v>
      </c>
      <c r="J17" s="2">
        <v>20</v>
      </c>
      <c r="K17" s="2">
        <v>7299</v>
      </c>
      <c r="L17" s="2">
        <v>5711</v>
      </c>
      <c r="M17" s="2">
        <v>5902</v>
      </c>
      <c r="N17" s="2" t="s">
        <v>15</v>
      </c>
      <c r="O17" s="1"/>
      <c r="P17" s="1" t="s">
        <v>16</v>
      </c>
      <c r="Q17" s="2">
        <f>Query1[[#This Row],[program_name.test_cases.input.number_of_variables]]/H17</f>
        <v>5.9079079079079078</v>
      </c>
    </row>
    <row r="18" spans="1:17" hidden="1" x14ac:dyDescent="0.25">
      <c r="A18" s="1" t="s">
        <v>13</v>
      </c>
      <c r="B18" s="1" t="s">
        <v>14</v>
      </c>
      <c r="C18" s="5">
        <v>299.99905138799659</v>
      </c>
      <c r="D18" s="3">
        <v>5373952</v>
      </c>
      <c r="E18" s="1" t="s">
        <v>52</v>
      </c>
      <c r="F18" s="1" t="s">
        <v>25</v>
      </c>
      <c r="G18" s="1" t="s">
        <v>26</v>
      </c>
      <c r="H18" s="1">
        <v>999</v>
      </c>
      <c r="I18" s="2">
        <v>5328</v>
      </c>
      <c r="J18" s="2">
        <v>10</v>
      </c>
      <c r="K18" s="2">
        <v>3319</v>
      </c>
      <c r="L18" s="2">
        <v>2659</v>
      </c>
      <c r="M18" s="2">
        <v>2650</v>
      </c>
      <c r="N18" s="2" t="s">
        <v>15</v>
      </c>
      <c r="O18" s="1"/>
      <c r="P18" s="1" t="s">
        <v>16</v>
      </c>
      <c r="Q18" s="2">
        <f>Query1[[#This Row],[program_name.test_cases.input.number_of_variables]]/H18</f>
        <v>2.6526526526526526</v>
      </c>
    </row>
    <row r="19" spans="1:17" hidden="1" x14ac:dyDescent="0.25">
      <c r="A19" s="1" t="s">
        <v>13</v>
      </c>
      <c r="B19" s="1" t="s">
        <v>14</v>
      </c>
      <c r="C19" s="5">
        <v>300.00015723099932</v>
      </c>
      <c r="D19" s="3">
        <v>5345280</v>
      </c>
      <c r="E19" s="1" t="s">
        <v>28</v>
      </c>
      <c r="F19" s="1" t="s">
        <v>25</v>
      </c>
      <c r="G19" s="1" t="s">
        <v>26</v>
      </c>
      <c r="H19" s="1">
        <v>1000</v>
      </c>
      <c r="I19" s="2">
        <v>5480</v>
      </c>
      <c r="J19" s="2">
        <v>20</v>
      </c>
      <c r="K19" s="2">
        <v>3414</v>
      </c>
      <c r="L19" s="2">
        <v>2698</v>
      </c>
      <c r="M19" s="2">
        <v>2755</v>
      </c>
      <c r="N19" s="2" t="s">
        <v>15</v>
      </c>
      <c r="O19" s="1"/>
      <c r="P19" s="1" t="s">
        <v>16</v>
      </c>
      <c r="Q19" s="2">
        <f>Query1[[#This Row],[program_name.test_cases.input.number_of_variables]]/H19</f>
        <v>2.7549999999999999</v>
      </c>
    </row>
    <row r="20" spans="1:17" hidden="1" x14ac:dyDescent="0.25">
      <c r="A20" s="1" t="s">
        <v>13</v>
      </c>
      <c r="B20" s="1" t="s">
        <v>14</v>
      </c>
      <c r="C20" s="5">
        <v>299.99859954299609</v>
      </c>
      <c r="D20" s="3">
        <v>6930432</v>
      </c>
      <c r="E20" s="1" t="s">
        <v>42</v>
      </c>
      <c r="F20" s="1" t="s">
        <v>25</v>
      </c>
      <c r="G20" s="1" t="s">
        <v>26</v>
      </c>
      <c r="H20" s="1">
        <v>1000</v>
      </c>
      <c r="I20" s="2">
        <v>9000</v>
      </c>
      <c r="J20" s="2">
        <v>20</v>
      </c>
      <c r="K20" s="2">
        <v>5580</v>
      </c>
      <c r="L20" s="2">
        <v>4538</v>
      </c>
      <c r="M20" s="2">
        <v>4423</v>
      </c>
      <c r="N20" s="2" t="s">
        <v>15</v>
      </c>
      <c r="O20" s="1"/>
      <c r="P20" s="1" t="s">
        <v>16</v>
      </c>
      <c r="Q20" s="2">
        <f>Query1[[#This Row],[program_name.test_cases.input.number_of_variables]]/H20</f>
        <v>4.423</v>
      </c>
    </row>
    <row r="21" spans="1:17" hidden="1" x14ac:dyDescent="0.25">
      <c r="A21" s="1" t="s">
        <v>13</v>
      </c>
      <c r="B21" s="1" t="s">
        <v>14</v>
      </c>
      <c r="C21" s="5">
        <v>299.9987045989983</v>
      </c>
      <c r="D21" s="3">
        <v>8110080</v>
      </c>
      <c r="E21" s="1" t="s">
        <v>55</v>
      </c>
      <c r="F21" s="1" t="s">
        <v>25</v>
      </c>
      <c r="G21" s="1" t="s">
        <v>26</v>
      </c>
      <c r="H21" s="1">
        <v>1000</v>
      </c>
      <c r="I21" s="2">
        <v>11560</v>
      </c>
      <c r="J21" s="2">
        <v>20</v>
      </c>
      <c r="K21" s="2">
        <v>7174</v>
      </c>
      <c r="L21" s="2">
        <v>5769</v>
      </c>
      <c r="M21" s="2">
        <v>5757</v>
      </c>
      <c r="N21" s="2" t="s">
        <v>15</v>
      </c>
      <c r="O21" s="1"/>
      <c r="P21" s="1" t="s">
        <v>16</v>
      </c>
      <c r="Q21" s="2">
        <f>Query1[[#This Row],[program_name.test_cases.input.number_of_variables]]/H21</f>
        <v>5.7569999999999997</v>
      </c>
    </row>
    <row r="22" spans="1:17" hidden="1" x14ac:dyDescent="0.25">
      <c r="A22" s="1" t="s">
        <v>13</v>
      </c>
      <c r="B22" s="1" t="s">
        <v>14</v>
      </c>
      <c r="C22" s="5">
        <v>300.00027183700149</v>
      </c>
      <c r="D22" s="3">
        <v>9342976</v>
      </c>
      <c r="E22" s="1" t="s">
        <v>29</v>
      </c>
      <c r="F22" s="1" t="s">
        <v>25</v>
      </c>
      <c r="G22" s="1" t="s">
        <v>26</v>
      </c>
      <c r="H22" s="1">
        <v>2499</v>
      </c>
      <c r="I22" s="2">
        <v>13328</v>
      </c>
      <c r="J22" s="2">
        <v>10</v>
      </c>
      <c r="K22" s="2">
        <v>8278</v>
      </c>
      <c r="L22" s="2">
        <v>6603</v>
      </c>
      <c r="M22" s="2">
        <v>6710</v>
      </c>
      <c r="N22" s="2" t="s">
        <v>15</v>
      </c>
      <c r="O22" s="1"/>
      <c r="P22" s="1" t="s">
        <v>16</v>
      </c>
      <c r="Q22" s="2">
        <f>Query1[[#This Row],[program_name.test_cases.input.number_of_variables]]/H22</f>
        <v>2.6850740296118447</v>
      </c>
    </row>
    <row r="23" spans="1:17" hidden="1" x14ac:dyDescent="0.25">
      <c r="A23" s="1" t="s">
        <v>13</v>
      </c>
      <c r="B23" s="1" t="s">
        <v>14</v>
      </c>
      <c r="C23" s="5">
        <v>299.99965563000302</v>
      </c>
      <c r="D23" s="3">
        <v>16588800</v>
      </c>
      <c r="E23" s="1" t="s">
        <v>30</v>
      </c>
      <c r="F23" s="1" t="s">
        <v>25</v>
      </c>
      <c r="G23" s="1" t="s">
        <v>26</v>
      </c>
      <c r="H23" s="1">
        <v>2499</v>
      </c>
      <c r="I23" s="2">
        <v>29155</v>
      </c>
      <c r="J23" s="2">
        <v>20</v>
      </c>
      <c r="K23" s="2">
        <v>18210</v>
      </c>
      <c r="L23" s="2">
        <v>14534</v>
      </c>
      <c r="M23" s="2">
        <v>14577</v>
      </c>
      <c r="N23" s="2" t="s">
        <v>15</v>
      </c>
      <c r="O23" s="1"/>
      <c r="P23" s="1" t="s">
        <v>16</v>
      </c>
      <c r="Q23" s="2">
        <f>Query1[[#This Row],[program_name.test_cases.input.number_of_variables]]/H23</f>
        <v>5.8331332533013205</v>
      </c>
    </row>
    <row r="24" spans="1:17" hidden="1" x14ac:dyDescent="0.25">
      <c r="A24" s="1" t="s">
        <v>13</v>
      </c>
      <c r="B24" s="1" t="s">
        <v>14</v>
      </c>
      <c r="C24" s="5">
        <v>299.99892277499748</v>
      </c>
      <c r="D24" s="3">
        <v>9424896</v>
      </c>
      <c r="E24" s="1" t="s">
        <v>31</v>
      </c>
      <c r="F24" s="1" t="s">
        <v>25</v>
      </c>
      <c r="G24" s="1" t="s">
        <v>26</v>
      </c>
      <c r="H24" s="1">
        <v>2500</v>
      </c>
      <c r="I24" s="2">
        <v>13700</v>
      </c>
      <c r="J24" s="2">
        <v>20</v>
      </c>
      <c r="K24" s="2">
        <v>8587</v>
      </c>
      <c r="L24" s="2">
        <v>6761</v>
      </c>
      <c r="M24" s="2">
        <v>6899</v>
      </c>
      <c r="N24" s="2" t="s">
        <v>15</v>
      </c>
      <c r="O24" s="1"/>
      <c r="P24" s="1" t="s">
        <v>16</v>
      </c>
      <c r="Q24" s="2">
        <f>Query1[[#This Row],[program_name.test_cases.input.number_of_variables]]/H24</f>
        <v>2.7595999999999998</v>
      </c>
    </row>
    <row r="25" spans="1:17" hidden="1" x14ac:dyDescent="0.25">
      <c r="A25" s="1" t="s">
        <v>13</v>
      </c>
      <c r="B25" s="1" t="s">
        <v>14</v>
      </c>
      <c r="C25" s="5">
        <v>299.99852731200372</v>
      </c>
      <c r="D25" s="3">
        <v>16674816</v>
      </c>
      <c r="E25" s="1" t="s">
        <v>36</v>
      </c>
      <c r="F25" s="1" t="s">
        <v>25</v>
      </c>
      <c r="G25" s="1" t="s">
        <v>26</v>
      </c>
      <c r="H25" s="1">
        <v>2500</v>
      </c>
      <c r="I25" s="2">
        <v>28900</v>
      </c>
      <c r="J25" s="2">
        <v>20</v>
      </c>
      <c r="K25" s="2">
        <v>18045</v>
      </c>
      <c r="L25" s="2">
        <v>14208</v>
      </c>
      <c r="M25" s="2">
        <v>14639</v>
      </c>
      <c r="N25" s="2" t="s">
        <v>15</v>
      </c>
      <c r="O25" s="1"/>
      <c r="P25" s="1" t="s">
        <v>16</v>
      </c>
      <c r="Q25" s="2">
        <f>Query1[[#This Row],[program_name.test_cases.input.number_of_variables]]/H25</f>
        <v>5.8555999999999999</v>
      </c>
    </row>
    <row r="26" spans="1:17" hidden="1" x14ac:dyDescent="0.25">
      <c r="A26" s="1" t="s">
        <v>13</v>
      </c>
      <c r="B26" s="1" t="s">
        <v>14</v>
      </c>
      <c r="C26" s="5">
        <v>299.99960721899697</v>
      </c>
      <c r="D26" s="3">
        <v>13774848</v>
      </c>
      <c r="E26" s="1" t="s">
        <v>51</v>
      </c>
      <c r="F26" s="1" t="s">
        <v>25</v>
      </c>
      <c r="G26" s="1" t="s">
        <v>26</v>
      </c>
      <c r="H26" s="1">
        <v>2500</v>
      </c>
      <c r="I26" s="2">
        <v>22500</v>
      </c>
      <c r="J26" s="2">
        <v>20</v>
      </c>
      <c r="K26" s="2">
        <v>14066</v>
      </c>
      <c r="L26" s="2">
        <v>11260</v>
      </c>
      <c r="M26" s="2">
        <v>11198</v>
      </c>
      <c r="N26" s="2" t="s">
        <v>15</v>
      </c>
      <c r="O26" s="1"/>
      <c r="P26" s="1" t="s">
        <v>16</v>
      </c>
      <c r="Q26" s="2">
        <f>Query1[[#This Row],[program_name.test_cases.input.number_of_variables]]/H26</f>
        <v>4.4791999999999996</v>
      </c>
    </row>
    <row r="27" spans="1:17" hidden="1" x14ac:dyDescent="0.25">
      <c r="A27" s="1" t="s">
        <v>13</v>
      </c>
      <c r="B27" s="1" t="s">
        <v>14</v>
      </c>
      <c r="C27" s="5">
        <v>299.99999866400321</v>
      </c>
      <c r="D27" s="3">
        <v>24518656</v>
      </c>
      <c r="E27" s="1" t="s">
        <v>34</v>
      </c>
      <c r="F27" s="1" t="s">
        <v>25</v>
      </c>
      <c r="G27" s="1" t="s">
        <v>26</v>
      </c>
      <c r="H27" s="1">
        <v>5000</v>
      </c>
      <c r="I27" s="2">
        <v>45000</v>
      </c>
      <c r="J27" s="2">
        <v>20</v>
      </c>
      <c r="K27" s="2">
        <v>28108</v>
      </c>
      <c r="L27" s="2">
        <v>22580</v>
      </c>
      <c r="M27" s="2">
        <v>22373</v>
      </c>
      <c r="N27" s="2" t="s">
        <v>15</v>
      </c>
      <c r="O27" s="1"/>
      <c r="P27" s="1" t="s">
        <v>16</v>
      </c>
      <c r="Q27" s="2">
        <f>Query1[[#This Row],[program_name.test_cases.input.number_of_variables]]/H27</f>
        <v>4.4745999999999997</v>
      </c>
    </row>
    <row r="28" spans="1:17" hidden="1" x14ac:dyDescent="0.25">
      <c r="A28" s="1" t="s">
        <v>13</v>
      </c>
      <c r="B28" s="1" t="s">
        <v>14</v>
      </c>
      <c r="C28" s="5">
        <v>299.99895654599823</v>
      </c>
      <c r="D28" s="3">
        <v>29999104</v>
      </c>
      <c r="E28" s="1" t="s">
        <v>35</v>
      </c>
      <c r="F28" s="1" t="s">
        <v>25</v>
      </c>
      <c r="G28" s="1" t="s">
        <v>26</v>
      </c>
      <c r="H28" s="1">
        <v>5000</v>
      </c>
      <c r="I28" s="2">
        <v>57800</v>
      </c>
      <c r="J28" s="2">
        <v>20</v>
      </c>
      <c r="K28" s="2">
        <v>36090</v>
      </c>
      <c r="L28" s="2">
        <v>28817</v>
      </c>
      <c r="M28" s="2">
        <v>28919</v>
      </c>
      <c r="N28" s="2" t="s">
        <v>15</v>
      </c>
      <c r="O28" s="1"/>
      <c r="P28" s="1" t="s">
        <v>16</v>
      </c>
      <c r="Q28" s="2">
        <f>Query1[[#This Row],[program_name.test_cases.input.number_of_variables]]/H28</f>
        <v>5.7838000000000003</v>
      </c>
    </row>
    <row r="29" spans="1:17" hidden="1" x14ac:dyDescent="0.25">
      <c r="A29" s="1" t="s">
        <v>13</v>
      </c>
      <c r="B29" s="1" t="s">
        <v>14</v>
      </c>
      <c r="C29" s="5">
        <v>299.99947925199376</v>
      </c>
      <c r="D29" s="3">
        <v>16338944</v>
      </c>
      <c r="E29" s="1" t="s">
        <v>43</v>
      </c>
      <c r="F29" s="1" t="s">
        <v>25</v>
      </c>
      <c r="G29" s="1" t="s">
        <v>26</v>
      </c>
      <c r="H29" s="1">
        <v>5000</v>
      </c>
      <c r="I29" s="2">
        <v>27400</v>
      </c>
      <c r="J29" s="2">
        <v>20</v>
      </c>
      <c r="K29" s="2">
        <v>17051</v>
      </c>
      <c r="L29" s="2">
        <v>13638</v>
      </c>
      <c r="M29" s="2">
        <v>13729</v>
      </c>
      <c r="N29" s="2" t="s">
        <v>15</v>
      </c>
      <c r="O29" s="1"/>
      <c r="P29" s="1" t="s">
        <v>16</v>
      </c>
      <c r="Q29" s="2">
        <f>Query1[[#This Row],[program_name.test_cases.input.number_of_variables]]/H29</f>
        <v>2.7458</v>
      </c>
    </row>
    <row r="30" spans="1:17" hidden="1" x14ac:dyDescent="0.25">
      <c r="A30" s="1" t="s">
        <v>13</v>
      </c>
      <c r="B30" s="1" t="s">
        <v>14</v>
      </c>
      <c r="C30" s="5">
        <v>299.99895353999455</v>
      </c>
      <c r="D30" s="3">
        <v>30392320</v>
      </c>
      <c r="E30" s="1" t="s">
        <v>37</v>
      </c>
      <c r="F30" s="1" t="s">
        <v>25</v>
      </c>
      <c r="G30" s="1" t="s">
        <v>26</v>
      </c>
      <c r="H30" s="1">
        <v>5001</v>
      </c>
      <c r="I30" s="2">
        <v>58345</v>
      </c>
      <c r="J30" s="2">
        <v>20</v>
      </c>
      <c r="K30" s="2">
        <v>36447</v>
      </c>
      <c r="L30" s="2">
        <v>29209</v>
      </c>
      <c r="M30" s="2">
        <v>29071</v>
      </c>
      <c r="N30" s="2" t="s">
        <v>15</v>
      </c>
      <c r="O30" s="1"/>
      <c r="P30" s="1" t="s">
        <v>16</v>
      </c>
      <c r="Q30" s="2">
        <f>Query1[[#This Row],[program_name.test_cases.input.number_of_variables]]/H30</f>
        <v>5.8130373925214958</v>
      </c>
    </row>
    <row r="31" spans="1:17" hidden="1" x14ac:dyDescent="0.25">
      <c r="A31" s="1" t="s">
        <v>13</v>
      </c>
      <c r="B31" s="1" t="s">
        <v>14</v>
      </c>
      <c r="C31" s="5">
        <v>300.00004886399984</v>
      </c>
      <c r="D31" s="3">
        <v>16191488</v>
      </c>
      <c r="E31" s="1" t="s">
        <v>45</v>
      </c>
      <c r="F31" s="1" t="s">
        <v>25</v>
      </c>
      <c r="G31" s="1" t="s">
        <v>26</v>
      </c>
      <c r="H31" s="1">
        <v>5001</v>
      </c>
      <c r="I31" s="2">
        <v>26672</v>
      </c>
      <c r="J31" s="2">
        <v>10</v>
      </c>
      <c r="K31" s="2">
        <v>16695</v>
      </c>
      <c r="L31" s="2">
        <v>13328</v>
      </c>
      <c r="M31" s="2">
        <v>13324</v>
      </c>
      <c r="N31" s="2" t="s">
        <v>15</v>
      </c>
      <c r="O31" s="1"/>
      <c r="P31" s="1" t="s">
        <v>16</v>
      </c>
      <c r="Q31" s="2">
        <f>Query1[[#This Row],[program_name.test_cases.input.number_of_variables]]/H31</f>
        <v>2.664267146570686</v>
      </c>
    </row>
    <row r="32" spans="1:17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61"/>
  <sheetViews>
    <sheetView topLeftCell="A23" zoomScale="70" zoomScaleNormal="70" workbookViewId="0">
      <selection activeCell="J15" sqref="J15:K2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86</v>
      </c>
    </row>
    <row r="2" spans="1:17" x14ac:dyDescent="0.25">
      <c r="A2" s="1" t="s">
        <v>19</v>
      </c>
      <c r="B2" s="1" t="s">
        <v>20</v>
      </c>
      <c r="C2" s="4">
        <v>9.6092597988899797E-2</v>
      </c>
      <c r="D2" s="3">
        <v>61435904</v>
      </c>
      <c r="E2" s="1" t="s">
        <v>69</v>
      </c>
      <c r="F2" s="1" t="s">
        <v>25</v>
      </c>
      <c r="G2" s="1" t="s">
        <v>26</v>
      </c>
      <c r="H2" s="1">
        <v>99</v>
      </c>
      <c r="I2" s="1">
        <v>528</v>
      </c>
      <c r="J2" s="1">
        <v>10</v>
      </c>
      <c r="K2" s="1">
        <v>348</v>
      </c>
      <c r="L2" s="1">
        <v>253</v>
      </c>
      <c r="M2" s="1">
        <v>255</v>
      </c>
      <c r="N2" s="1" t="s">
        <v>15</v>
      </c>
      <c r="O2" s="1">
        <v>0</v>
      </c>
      <c r="P2" s="1" t="s">
        <v>17</v>
      </c>
      <c r="Q2" s="2">
        <f>Query13[[#This Row],[program_name.test_cases.input.number_of_variables]]/H2</f>
        <v>2.5757575757575757</v>
      </c>
    </row>
    <row r="3" spans="1:17" x14ac:dyDescent="0.25">
      <c r="A3" s="1" t="s">
        <v>19</v>
      </c>
      <c r="B3" s="1" t="s">
        <v>20</v>
      </c>
      <c r="C3" s="4">
        <v>0.10576102801132949</v>
      </c>
      <c r="D3" s="3">
        <v>61345792</v>
      </c>
      <c r="E3" s="1" t="s">
        <v>62</v>
      </c>
      <c r="F3" s="1" t="s">
        <v>25</v>
      </c>
      <c r="G3" s="1" t="s">
        <v>26</v>
      </c>
      <c r="H3" s="1">
        <v>100</v>
      </c>
      <c r="I3" s="1">
        <v>548</v>
      </c>
      <c r="J3" s="1">
        <v>20</v>
      </c>
      <c r="K3" s="1">
        <v>361</v>
      </c>
      <c r="L3" s="1">
        <v>232</v>
      </c>
      <c r="M3" s="1">
        <v>301</v>
      </c>
      <c r="N3" s="1" t="s">
        <v>15</v>
      </c>
      <c r="O3" s="1">
        <v>0</v>
      </c>
      <c r="P3" s="1" t="s">
        <v>17</v>
      </c>
      <c r="Q3" s="2">
        <f>Query13[[#This Row],[program_name.test_cases.input.number_of_variables]]/H3</f>
        <v>3.01</v>
      </c>
    </row>
    <row r="4" spans="1:17" x14ac:dyDescent="0.25">
      <c r="A4" s="1" t="s">
        <v>19</v>
      </c>
      <c r="B4" s="1" t="s">
        <v>20</v>
      </c>
      <c r="C4" s="4">
        <v>0.18398050400719512</v>
      </c>
      <c r="D4" s="3">
        <v>61620224</v>
      </c>
      <c r="E4" s="1" t="s">
        <v>70</v>
      </c>
      <c r="F4" s="1" t="s">
        <v>25</v>
      </c>
      <c r="G4" s="1" t="s">
        <v>26</v>
      </c>
      <c r="H4" s="1">
        <v>100</v>
      </c>
      <c r="I4" s="1">
        <v>900</v>
      </c>
      <c r="J4" s="1">
        <v>20</v>
      </c>
      <c r="K4" s="1">
        <v>563</v>
      </c>
      <c r="L4" s="1">
        <v>433</v>
      </c>
      <c r="M4" s="1">
        <v>434</v>
      </c>
      <c r="N4" s="1" t="s">
        <v>15</v>
      </c>
      <c r="O4" s="1">
        <v>0</v>
      </c>
      <c r="P4" s="1" t="s">
        <v>17</v>
      </c>
      <c r="Q4" s="2">
        <f>Query13[[#This Row],[program_name.test_cases.input.number_of_variables]]/H4</f>
        <v>4.34</v>
      </c>
    </row>
    <row r="5" spans="1:17" x14ac:dyDescent="0.25">
      <c r="A5" s="1" t="s">
        <v>19</v>
      </c>
      <c r="B5" s="1" t="s">
        <v>20</v>
      </c>
      <c r="C5" s="4">
        <v>0.22970153400092383</v>
      </c>
      <c r="D5" s="3">
        <v>61894656</v>
      </c>
      <c r="E5" s="1" t="s">
        <v>68</v>
      </c>
      <c r="F5" s="1" t="s">
        <v>25</v>
      </c>
      <c r="G5" s="1" t="s">
        <v>26</v>
      </c>
      <c r="H5" s="1">
        <v>201</v>
      </c>
      <c r="I5" s="1">
        <v>1072</v>
      </c>
      <c r="J5" s="1">
        <v>10</v>
      </c>
      <c r="K5" s="1">
        <v>669</v>
      </c>
      <c r="L5" s="1">
        <v>547</v>
      </c>
      <c r="M5" s="1">
        <v>511</v>
      </c>
      <c r="N5" s="1" t="s">
        <v>15</v>
      </c>
      <c r="O5" s="1">
        <v>0</v>
      </c>
      <c r="P5" s="1" t="s">
        <v>17</v>
      </c>
      <c r="Q5" s="2">
        <f>Query13[[#This Row],[program_name.test_cases.input.number_of_variables]]/H5</f>
        <v>2.5422885572139302</v>
      </c>
    </row>
    <row r="6" spans="1:17" x14ac:dyDescent="0.25">
      <c r="A6" s="1" t="s">
        <v>19</v>
      </c>
      <c r="B6" s="1" t="s">
        <v>20</v>
      </c>
      <c r="C6" s="4">
        <v>0.29822404599690344</v>
      </c>
      <c r="D6" s="3">
        <v>62083072</v>
      </c>
      <c r="E6" s="1" t="s">
        <v>71</v>
      </c>
      <c r="F6" s="1" t="s">
        <v>25</v>
      </c>
      <c r="G6" s="1" t="s">
        <v>26</v>
      </c>
      <c r="H6" s="1">
        <v>200</v>
      </c>
      <c r="I6" s="1">
        <v>1096</v>
      </c>
      <c r="J6" s="1">
        <v>20</v>
      </c>
      <c r="K6" s="1">
        <v>684</v>
      </c>
      <c r="L6" s="1">
        <v>540</v>
      </c>
      <c r="M6" s="1">
        <v>541</v>
      </c>
      <c r="N6" s="1" t="s">
        <v>15</v>
      </c>
      <c r="O6" s="1">
        <v>0</v>
      </c>
      <c r="P6" s="1" t="s">
        <v>17</v>
      </c>
      <c r="Q6" s="2">
        <f>Query13[[#This Row],[program_name.test_cases.input.number_of_variables]]/H6</f>
        <v>2.7050000000000001</v>
      </c>
    </row>
    <row r="7" spans="1:17" x14ac:dyDescent="0.25">
      <c r="A7" s="1" t="s">
        <v>19</v>
      </c>
      <c r="B7" s="1" t="s">
        <v>20</v>
      </c>
      <c r="C7" s="4">
        <v>0.35918316501192749</v>
      </c>
      <c r="D7" s="3">
        <v>62128128</v>
      </c>
      <c r="E7" s="1" t="s">
        <v>76</v>
      </c>
      <c r="F7" s="1" t="s">
        <v>25</v>
      </c>
      <c r="G7" s="1" t="s">
        <v>26</v>
      </c>
      <c r="H7" s="1">
        <v>100</v>
      </c>
      <c r="I7" s="1">
        <v>1156</v>
      </c>
      <c r="J7" s="1">
        <v>20</v>
      </c>
      <c r="K7" s="1">
        <v>708</v>
      </c>
      <c r="L7" s="1">
        <v>583</v>
      </c>
      <c r="M7" s="1">
        <v>549</v>
      </c>
      <c r="N7" s="1" t="s">
        <v>15</v>
      </c>
      <c r="O7" s="1">
        <v>0</v>
      </c>
      <c r="P7" s="1" t="s">
        <v>17</v>
      </c>
      <c r="Q7" s="2">
        <f>Query13[[#This Row],[program_name.test_cases.input.number_of_variables]]/H7</f>
        <v>5.49</v>
      </c>
    </row>
    <row r="8" spans="1:17" x14ac:dyDescent="0.25">
      <c r="A8" s="1" t="s">
        <v>19</v>
      </c>
      <c r="B8" s="1" t="s">
        <v>20</v>
      </c>
      <c r="C8" s="4">
        <v>0.33893974899547175</v>
      </c>
      <c r="D8" s="3">
        <v>62124032</v>
      </c>
      <c r="E8" s="1" t="s">
        <v>77</v>
      </c>
      <c r="F8" s="1" t="s">
        <v>25</v>
      </c>
      <c r="G8" s="1" t="s">
        <v>26</v>
      </c>
      <c r="H8" s="1">
        <v>99</v>
      </c>
      <c r="I8" s="1">
        <v>1155</v>
      </c>
      <c r="J8" s="1">
        <v>20</v>
      </c>
      <c r="K8" s="1">
        <v>730</v>
      </c>
      <c r="L8" s="1">
        <v>536</v>
      </c>
      <c r="M8" s="1">
        <v>589</v>
      </c>
      <c r="N8" s="1" t="s">
        <v>15</v>
      </c>
      <c r="O8" s="1">
        <v>0</v>
      </c>
      <c r="P8" s="1" t="s">
        <v>17</v>
      </c>
      <c r="Q8" s="2">
        <f>Query13[[#This Row],[program_name.test_cases.input.number_of_variables]]/H8</f>
        <v>5.9494949494949498</v>
      </c>
    </row>
    <row r="9" spans="1:17" x14ac:dyDescent="0.25">
      <c r="A9" s="1" t="s">
        <v>19</v>
      </c>
      <c r="B9" s="1" t="s">
        <v>20</v>
      </c>
      <c r="C9" s="4">
        <v>0.62856250299955718</v>
      </c>
      <c r="D9" s="3">
        <v>62500864</v>
      </c>
      <c r="E9" s="1" t="s">
        <v>84</v>
      </c>
      <c r="F9" s="1" t="s">
        <v>25</v>
      </c>
      <c r="G9" s="1" t="s">
        <v>26</v>
      </c>
      <c r="H9" s="1">
        <v>200</v>
      </c>
      <c r="I9" s="1">
        <v>1800</v>
      </c>
      <c r="J9" s="1">
        <v>20</v>
      </c>
      <c r="K9" s="1">
        <v>1153</v>
      </c>
      <c r="L9" s="1">
        <v>894</v>
      </c>
      <c r="M9" s="1">
        <v>879</v>
      </c>
      <c r="N9" s="1" t="s">
        <v>15</v>
      </c>
      <c r="O9" s="1">
        <v>0</v>
      </c>
      <c r="P9" s="1" t="s">
        <v>17</v>
      </c>
      <c r="Q9" s="2">
        <f>Query13[[#This Row],[program_name.test_cases.input.number_of_variables]]/H9</f>
        <v>4.3949999999999996</v>
      </c>
    </row>
    <row r="10" spans="1:17" x14ac:dyDescent="0.25">
      <c r="A10" s="1" t="s">
        <v>19</v>
      </c>
      <c r="B10" s="1" t="s">
        <v>20</v>
      </c>
      <c r="C10" s="4">
        <v>1.7191985940007726</v>
      </c>
      <c r="D10" s="3">
        <v>63299584</v>
      </c>
      <c r="E10" s="1" t="s">
        <v>83</v>
      </c>
      <c r="F10" s="1" t="s">
        <v>25</v>
      </c>
      <c r="G10" s="1" t="s">
        <v>26</v>
      </c>
      <c r="H10" s="1">
        <v>201</v>
      </c>
      <c r="I10" s="1">
        <v>2345</v>
      </c>
      <c r="J10" s="1">
        <v>20</v>
      </c>
      <c r="K10" s="1">
        <v>1442</v>
      </c>
      <c r="L10" s="1">
        <v>1150</v>
      </c>
      <c r="M10" s="1">
        <v>1160</v>
      </c>
      <c r="N10" s="1" t="s">
        <v>15</v>
      </c>
      <c r="O10" s="1">
        <v>0</v>
      </c>
      <c r="P10" s="1" t="s">
        <v>17</v>
      </c>
      <c r="Q10" s="2">
        <f>Query13[[#This Row],[program_name.test_cases.input.number_of_variables]]/H10</f>
        <v>5.7711442786069655</v>
      </c>
    </row>
    <row r="11" spans="1:17" x14ac:dyDescent="0.25">
      <c r="A11" s="1" t="s">
        <v>19</v>
      </c>
      <c r="B11" s="1" t="s">
        <v>20</v>
      </c>
      <c r="C11" s="4">
        <v>1.5474346420087386</v>
      </c>
      <c r="D11" s="3">
        <v>63172608</v>
      </c>
      <c r="E11" s="1" t="s">
        <v>80</v>
      </c>
      <c r="F11" s="1" t="s">
        <v>25</v>
      </c>
      <c r="G11" s="1" t="s">
        <v>26</v>
      </c>
      <c r="H11" s="1">
        <v>200</v>
      </c>
      <c r="I11" s="1">
        <v>2312</v>
      </c>
      <c r="J11" s="1">
        <v>20</v>
      </c>
      <c r="K11" s="1">
        <v>1455</v>
      </c>
      <c r="L11" s="1">
        <v>1098</v>
      </c>
      <c r="M11" s="1">
        <v>1175</v>
      </c>
      <c r="N11" s="1" t="s">
        <v>15</v>
      </c>
      <c r="O11" s="1">
        <v>0</v>
      </c>
      <c r="P11" s="1" t="s">
        <v>17</v>
      </c>
      <c r="Q11" s="2">
        <f>Query13[[#This Row],[program_name.test_cases.input.number_of_variables]]/H11</f>
        <v>5.875</v>
      </c>
    </row>
    <row r="12" spans="1:17" x14ac:dyDescent="0.25">
      <c r="A12" s="1" t="s">
        <v>19</v>
      </c>
      <c r="B12" s="1" t="s">
        <v>20</v>
      </c>
      <c r="C12" s="4">
        <v>1.659138917006203</v>
      </c>
      <c r="D12" s="3">
        <v>63410176</v>
      </c>
      <c r="E12" s="1" t="s">
        <v>78</v>
      </c>
      <c r="F12" s="1" t="s">
        <v>25</v>
      </c>
      <c r="G12" s="1" t="s">
        <v>26</v>
      </c>
      <c r="H12" s="1">
        <v>501</v>
      </c>
      <c r="I12" s="1">
        <v>2672</v>
      </c>
      <c r="J12" s="1">
        <v>10</v>
      </c>
      <c r="K12" s="1">
        <v>1693</v>
      </c>
      <c r="L12" s="1">
        <v>1326</v>
      </c>
      <c r="M12" s="1">
        <v>1324</v>
      </c>
      <c r="N12" s="1" t="s">
        <v>15</v>
      </c>
      <c r="O12" s="1">
        <v>0</v>
      </c>
      <c r="P12" s="1" t="s">
        <v>17</v>
      </c>
      <c r="Q12" s="2">
        <f>Query13[[#This Row],[program_name.test_cases.input.number_of_variables]]/H12</f>
        <v>2.6427145708582835</v>
      </c>
    </row>
    <row r="13" spans="1:17" x14ac:dyDescent="0.25">
      <c r="A13" s="1" t="s">
        <v>19</v>
      </c>
      <c r="B13" s="1" t="s">
        <v>20</v>
      </c>
      <c r="C13" s="4">
        <v>3.0757597399933729</v>
      </c>
      <c r="D13" s="3">
        <v>63680512</v>
      </c>
      <c r="E13" s="1" t="s">
        <v>56</v>
      </c>
      <c r="F13" s="1" t="s">
        <v>25</v>
      </c>
      <c r="G13" s="1" t="s">
        <v>26</v>
      </c>
      <c r="H13" s="1">
        <v>500</v>
      </c>
      <c r="I13" s="1">
        <v>2740</v>
      </c>
      <c r="J13" s="1">
        <v>20</v>
      </c>
      <c r="K13" s="1">
        <v>1742</v>
      </c>
      <c r="L13" s="1">
        <v>1350</v>
      </c>
      <c r="M13" s="1">
        <v>1359</v>
      </c>
      <c r="N13" s="1" t="s">
        <v>15</v>
      </c>
      <c r="O13" s="1">
        <v>0</v>
      </c>
      <c r="P13" s="1" t="s">
        <v>17</v>
      </c>
      <c r="Q13" s="2">
        <f>Query13[[#This Row],[program_name.test_cases.input.number_of_variables]]/H13</f>
        <v>2.718</v>
      </c>
    </row>
    <row r="14" spans="1:17" x14ac:dyDescent="0.25">
      <c r="A14" s="1" t="s">
        <v>19</v>
      </c>
      <c r="B14" s="1" t="s">
        <v>20</v>
      </c>
      <c r="C14" s="4">
        <v>8.6480092629935825</v>
      </c>
      <c r="D14" s="3">
        <v>65351680</v>
      </c>
      <c r="E14" s="1" t="s">
        <v>57</v>
      </c>
      <c r="F14" s="1" t="s">
        <v>25</v>
      </c>
      <c r="G14" s="1" t="s">
        <v>26</v>
      </c>
      <c r="H14" s="1">
        <v>500</v>
      </c>
      <c r="I14" s="1">
        <v>4500</v>
      </c>
      <c r="J14" s="1">
        <v>20</v>
      </c>
      <c r="K14" s="1">
        <v>2781</v>
      </c>
      <c r="L14" s="1">
        <v>2238</v>
      </c>
      <c r="M14" s="1">
        <v>2213</v>
      </c>
      <c r="N14" s="1" t="s">
        <v>15</v>
      </c>
      <c r="O14" s="1">
        <v>0</v>
      </c>
      <c r="P14" s="1" t="s">
        <v>17</v>
      </c>
      <c r="Q14" s="2">
        <f>Query13[[#This Row],[program_name.test_cases.input.number_of_variables]]/H14</f>
        <v>4.4260000000000002</v>
      </c>
    </row>
    <row r="15" spans="1:17" x14ac:dyDescent="0.25">
      <c r="A15" s="1" t="s">
        <v>19</v>
      </c>
      <c r="B15" s="1" t="s">
        <v>20</v>
      </c>
      <c r="C15" s="4">
        <v>9.0955322119989432</v>
      </c>
      <c r="D15" s="3">
        <v>66097152</v>
      </c>
      <c r="E15" s="1" t="s">
        <v>82</v>
      </c>
      <c r="F15" s="1" t="s">
        <v>25</v>
      </c>
      <c r="G15" s="1" t="s">
        <v>26</v>
      </c>
      <c r="H15" s="1">
        <v>999</v>
      </c>
      <c r="I15" s="1">
        <v>5328</v>
      </c>
      <c r="J15" s="1">
        <v>10</v>
      </c>
      <c r="K15" s="1">
        <v>3319</v>
      </c>
      <c r="L15" s="1">
        <v>2659</v>
      </c>
      <c r="M15" s="1">
        <v>2650</v>
      </c>
      <c r="N15" s="1" t="s">
        <v>15</v>
      </c>
      <c r="O15" s="1">
        <v>0</v>
      </c>
      <c r="P15" s="1" t="s">
        <v>17</v>
      </c>
      <c r="Q15" s="2">
        <f>Query13[[#This Row],[program_name.test_cases.input.number_of_variables]]/H15</f>
        <v>2.6526526526526526</v>
      </c>
    </row>
    <row r="16" spans="1:17" x14ac:dyDescent="0.25">
      <c r="A16" s="1" t="s">
        <v>19</v>
      </c>
      <c r="B16" s="1" t="s">
        <v>20</v>
      </c>
      <c r="C16" s="4">
        <v>14.02150105900364</v>
      </c>
      <c r="D16" s="3">
        <v>66260992</v>
      </c>
      <c r="E16" s="1" t="s">
        <v>58</v>
      </c>
      <c r="F16" s="1" t="s">
        <v>25</v>
      </c>
      <c r="G16" s="1" t="s">
        <v>26</v>
      </c>
      <c r="H16" s="1">
        <v>1000</v>
      </c>
      <c r="I16" s="1">
        <v>5480</v>
      </c>
      <c r="J16" s="1">
        <v>20</v>
      </c>
      <c r="K16" s="1">
        <v>3414</v>
      </c>
      <c r="L16" s="1">
        <v>2698</v>
      </c>
      <c r="M16" s="1">
        <v>2755</v>
      </c>
      <c r="N16" s="1" t="s">
        <v>15</v>
      </c>
      <c r="O16" s="1">
        <v>0</v>
      </c>
      <c r="P16" s="1" t="s">
        <v>17</v>
      </c>
      <c r="Q16" s="2">
        <f>Query13[[#This Row],[program_name.test_cases.input.number_of_variables]]/H16</f>
        <v>2.7549999999999999</v>
      </c>
    </row>
    <row r="17" spans="1:17" x14ac:dyDescent="0.25">
      <c r="A17" s="1" t="s">
        <v>19</v>
      </c>
      <c r="B17" s="1" t="s">
        <v>20</v>
      </c>
      <c r="C17" s="4">
        <v>14.152422941013356</v>
      </c>
      <c r="D17" s="3">
        <v>66433024</v>
      </c>
      <c r="E17" s="1" t="s">
        <v>79</v>
      </c>
      <c r="F17" s="1" t="s">
        <v>25</v>
      </c>
      <c r="G17" s="1" t="s">
        <v>26</v>
      </c>
      <c r="H17" s="1">
        <v>500</v>
      </c>
      <c r="I17" s="1">
        <v>5780</v>
      </c>
      <c r="J17" s="1">
        <v>20</v>
      </c>
      <c r="K17" s="1">
        <v>3640</v>
      </c>
      <c r="L17" s="1">
        <v>2850</v>
      </c>
      <c r="M17" s="1">
        <v>2888</v>
      </c>
      <c r="N17" s="1" t="s">
        <v>15</v>
      </c>
      <c r="O17" s="1">
        <v>0</v>
      </c>
      <c r="P17" s="1" t="s">
        <v>17</v>
      </c>
      <c r="Q17" s="2">
        <f>Query13[[#This Row],[program_name.test_cases.input.number_of_variables]]/H17</f>
        <v>5.7759999999999998</v>
      </c>
    </row>
    <row r="18" spans="1:17" x14ac:dyDescent="0.25">
      <c r="A18" s="1" t="s">
        <v>19</v>
      </c>
      <c r="B18" s="1" t="s">
        <v>20</v>
      </c>
      <c r="C18" s="4">
        <v>14.747136421996402</v>
      </c>
      <c r="D18" s="3">
        <v>66764800</v>
      </c>
      <c r="E18" s="1" t="s">
        <v>74</v>
      </c>
      <c r="F18" s="1" t="s">
        <v>25</v>
      </c>
      <c r="G18" s="1" t="s">
        <v>26</v>
      </c>
      <c r="H18" s="1">
        <v>501</v>
      </c>
      <c r="I18" s="1">
        <v>5845</v>
      </c>
      <c r="J18" s="1">
        <v>20</v>
      </c>
      <c r="K18" s="1">
        <v>3725</v>
      </c>
      <c r="L18" s="1">
        <v>2860</v>
      </c>
      <c r="M18" s="1">
        <v>2944</v>
      </c>
      <c r="N18" s="1" t="s">
        <v>15</v>
      </c>
      <c r="O18" s="1">
        <v>0</v>
      </c>
      <c r="P18" s="1" t="s">
        <v>17</v>
      </c>
      <c r="Q18" s="2">
        <f>Query13[[#This Row],[program_name.test_cases.input.number_of_variables]]/H18</f>
        <v>5.8762475049900198</v>
      </c>
    </row>
    <row r="19" spans="1:17" x14ac:dyDescent="0.25">
      <c r="A19" s="1" t="s">
        <v>19</v>
      </c>
      <c r="B19" s="1" t="s">
        <v>20</v>
      </c>
      <c r="C19" s="4">
        <v>35.054243610997219</v>
      </c>
      <c r="D19" s="3">
        <v>69533696</v>
      </c>
      <c r="E19" s="1" t="s">
        <v>72</v>
      </c>
      <c r="F19" s="1" t="s">
        <v>25</v>
      </c>
      <c r="G19" s="1" t="s">
        <v>26</v>
      </c>
      <c r="H19" s="1">
        <v>1000</v>
      </c>
      <c r="I19" s="1">
        <v>9000</v>
      </c>
      <c r="J19" s="1">
        <v>20</v>
      </c>
      <c r="K19" s="1">
        <v>5580</v>
      </c>
      <c r="L19" s="1">
        <v>4538</v>
      </c>
      <c r="M19" s="1">
        <v>4423</v>
      </c>
      <c r="N19" s="1" t="s">
        <v>15</v>
      </c>
      <c r="O19" s="1">
        <v>0</v>
      </c>
      <c r="P19" s="1" t="s">
        <v>17</v>
      </c>
      <c r="Q19" s="2">
        <f>Query13[[#This Row],[program_name.test_cases.input.number_of_variables]]/H19</f>
        <v>4.423</v>
      </c>
    </row>
    <row r="20" spans="1:17" x14ac:dyDescent="0.25">
      <c r="A20" s="1" t="s">
        <v>19</v>
      </c>
      <c r="B20" s="1" t="s">
        <v>20</v>
      </c>
      <c r="C20" s="4">
        <v>83.784736767003778</v>
      </c>
      <c r="D20" s="3">
        <v>72208384</v>
      </c>
      <c r="E20" s="1" t="s">
        <v>85</v>
      </c>
      <c r="F20" s="1" t="s">
        <v>25</v>
      </c>
      <c r="G20" s="1" t="s">
        <v>26</v>
      </c>
      <c r="H20" s="1">
        <v>1000</v>
      </c>
      <c r="I20" s="1">
        <v>11560</v>
      </c>
      <c r="J20" s="1">
        <v>20</v>
      </c>
      <c r="K20" s="1">
        <v>7174</v>
      </c>
      <c r="L20" s="1">
        <v>5769</v>
      </c>
      <c r="M20" s="1">
        <v>5757</v>
      </c>
      <c r="N20" s="1" t="s">
        <v>15</v>
      </c>
      <c r="O20" s="1">
        <v>0</v>
      </c>
      <c r="P20" s="1" t="s">
        <v>17</v>
      </c>
      <c r="Q20" s="2">
        <f>Query13[[#This Row],[program_name.test_cases.input.number_of_variables]]/H20</f>
        <v>5.7569999999999997</v>
      </c>
    </row>
    <row r="21" spans="1:17" x14ac:dyDescent="0.25">
      <c r="A21" s="1" t="s">
        <v>19</v>
      </c>
      <c r="B21" s="1" t="s">
        <v>20</v>
      </c>
      <c r="C21" s="4">
        <v>146.21035355200002</v>
      </c>
      <c r="D21" s="3">
        <v>72417280</v>
      </c>
      <c r="E21" s="1" t="s">
        <v>63</v>
      </c>
      <c r="F21" s="1" t="s">
        <v>25</v>
      </c>
      <c r="G21" s="1" t="s">
        <v>26</v>
      </c>
      <c r="H21" s="1">
        <v>999</v>
      </c>
      <c r="I21" s="1">
        <v>11655</v>
      </c>
      <c r="J21" s="1">
        <v>20</v>
      </c>
      <c r="K21" s="1">
        <v>7299</v>
      </c>
      <c r="L21" s="1">
        <v>5711</v>
      </c>
      <c r="M21" s="1">
        <v>5902</v>
      </c>
      <c r="N21" s="1" t="s">
        <v>15</v>
      </c>
      <c r="O21" s="1">
        <v>0</v>
      </c>
      <c r="P21" s="1" t="s">
        <v>17</v>
      </c>
      <c r="Q21" s="2">
        <f>Query13[[#This Row],[program_name.test_cases.input.number_of_variables]]/H21</f>
        <v>5.9079079079079078</v>
      </c>
    </row>
    <row r="22" spans="1:17" x14ac:dyDescent="0.25">
      <c r="A22" s="1" t="s">
        <v>19</v>
      </c>
      <c r="B22" s="1" t="s">
        <v>20</v>
      </c>
      <c r="C22" s="4">
        <v>164.67120625900861</v>
      </c>
      <c r="D22" s="3">
        <v>73924608</v>
      </c>
      <c r="E22" s="1" t="s">
        <v>59</v>
      </c>
      <c r="F22" s="1" t="s">
        <v>25</v>
      </c>
      <c r="G22" s="1" t="s">
        <v>26</v>
      </c>
      <c r="H22" s="1">
        <v>2499</v>
      </c>
      <c r="I22" s="1">
        <v>13328</v>
      </c>
      <c r="J22" s="1">
        <v>10</v>
      </c>
      <c r="K22" s="1">
        <v>8278</v>
      </c>
      <c r="L22" s="1">
        <v>6603</v>
      </c>
      <c r="M22" s="1">
        <v>6710</v>
      </c>
      <c r="N22" s="1" t="s">
        <v>15</v>
      </c>
      <c r="O22" s="1">
        <v>0</v>
      </c>
      <c r="P22" s="1" t="s">
        <v>17</v>
      </c>
      <c r="Q22" s="2">
        <f>Query13[[#This Row],[program_name.test_cases.input.number_of_variables]]/H22</f>
        <v>2.6850740296118447</v>
      </c>
    </row>
    <row r="23" spans="1:17" x14ac:dyDescent="0.25">
      <c r="A23" s="1" t="s">
        <v>19</v>
      </c>
      <c r="B23" s="1" t="s">
        <v>20</v>
      </c>
      <c r="C23" s="4">
        <v>174.67726824300189</v>
      </c>
      <c r="D23" s="3">
        <v>74420224</v>
      </c>
      <c r="E23" s="1" t="s">
        <v>61</v>
      </c>
      <c r="F23" s="1" t="s">
        <v>25</v>
      </c>
      <c r="G23" s="1" t="s">
        <v>26</v>
      </c>
      <c r="H23" s="1">
        <v>2500</v>
      </c>
      <c r="I23" s="1">
        <v>13700</v>
      </c>
      <c r="J23" s="1">
        <v>20</v>
      </c>
      <c r="K23" s="1">
        <v>8587</v>
      </c>
      <c r="L23" s="1">
        <v>6761</v>
      </c>
      <c r="M23" s="1">
        <v>6899</v>
      </c>
      <c r="N23" s="1" t="s">
        <v>15</v>
      </c>
      <c r="O23" s="1">
        <v>0</v>
      </c>
      <c r="P23" s="1" t="s">
        <v>17</v>
      </c>
      <c r="Q23" s="2">
        <f>Query13[[#This Row],[program_name.test_cases.input.number_of_variables]]/H23</f>
        <v>2.7595999999999998</v>
      </c>
    </row>
    <row r="24" spans="1:17" hidden="1" x14ac:dyDescent="0.25">
      <c r="A24" s="1" t="s">
        <v>19</v>
      </c>
      <c r="B24" s="1" t="s">
        <v>20</v>
      </c>
      <c r="C24" s="1">
        <v>299.99882022000384</v>
      </c>
      <c r="D24" s="1">
        <v>81698816</v>
      </c>
      <c r="E24" s="1" t="s">
        <v>81</v>
      </c>
      <c r="F24" s="1" t="s">
        <v>25</v>
      </c>
      <c r="G24" s="1" t="s">
        <v>26</v>
      </c>
      <c r="H24" s="1">
        <v>2500</v>
      </c>
      <c r="I24" s="1">
        <v>22500</v>
      </c>
      <c r="J24" s="1">
        <v>20</v>
      </c>
      <c r="K24" s="1">
        <v>14066</v>
      </c>
      <c r="L24" s="1">
        <v>11260</v>
      </c>
      <c r="M24" s="1">
        <v>11198</v>
      </c>
      <c r="N24" s="1" t="s">
        <v>15</v>
      </c>
      <c r="O24" s="1"/>
      <c r="P24" s="1" t="s">
        <v>16</v>
      </c>
      <c r="Q24" s="1">
        <f>Query13[[#This Row],[program_name.test_cases.input.number_of_variables]]/H24</f>
        <v>4.4791999999999996</v>
      </c>
    </row>
    <row r="25" spans="1:17" hidden="1" x14ac:dyDescent="0.25">
      <c r="A25" s="1" t="s">
        <v>19</v>
      </c>
      <c r="B25" s="1" t="s">
        <v>20</v>
      </c>
      <c r="C25" s="1">
        <v>299.99936695701035</v>
      </c>
      <c r="D25" s="1">
        <v>85487616</v>
      </c>
      <c r="E25" s="1" t="s">
        <v>75</v>
      </c>
      <c r="F25" s="1" t="s">
        <v>25</v>
      </c>
      <c r="G25" s="1" t="s">
        <v>26</v>
      </c>
      <c r="H25" s="1">
        <v>5001</v>
      </c>
      <c r="I25" s="1">
        <v>26672</v>
      </c>
      <c r="J25" s="1">
        <v>10</v>
      </c>
      <c r="K25" s="1">
        <v>16695</v>
      </c>
      <c r="L25" s="1">
        <v>13328</v>
      </c>
      <c r="M25" s="1">
        <v>13324</v>
      </c>
      <c r="N25" s="1" t="s">
        <v>15</v>
      </c>
      <c r="O25" s="1"/>
      <c r="P25" s="1" t="s">
        <v>16</v>
      </c>
      <c r="Q25" s="1">
        <f>Query13[[#This Row],[program_name.test_cases.input.number_of_variables]]/H25</f>
        <v>2.664267146570686</v>
      </c>
    </row>
    <row r="26" spans="1:17" hidden="1" x14ac:dyDescent="0.25">
      <c r="A26" s="1" t="s">
        <v>19</v>
      </c>
      <c r="B26" s="1" t="s">
        <v>20</v>
      </c>
      <c r="C26" s="1">
        <v>299.99885975400684</v>
      </c>
      <c r="D26" s="1">
        <v>84344832</v>
      </c>
      <c r="E26" s="1" t="s">
        <v>73</v>
      </c>
      <c r="F26" s="1" t="s">
        <v>25</v>
      </c>
      <c r="G26" s="1" t="s">
        <v>26</v>
      </c>
      <c r="H26" s="1">
        <v>5000</v>
      </c>
      <c r="I26" s="1">
        <v>27400</v>
      </c>
      <c r="J26" s="1">
        <v>20</v>
      </c>
      <c r="K26" s="1">
        <v>17051</v>
      </c>
      <c r="L26" s="1">
        <v>13638</v>
      </c>
      <c r="M26" s="1">
        <v>13729</v>
      </c>
      <c r="N26" s="1" t="s">
        <v>15</v>
      </c>
      <c r="O26" s="1"/>
      <c r="P26" s="1" t="s">
        <v>16</v>
      </c>
      <c r="Q26" s="1">
        <f>Query13[[#This Row],[program_name.test_cases.input.number_of_variables]]/H26</f>
        <v>2.7458</v>
      </c>
    </row>
    <row r="27" spans="1:17" hidden="1" x14ac:dyDescent="0.25">
      <c r="A27" s="1" t="s">
        <v>19</v>
      </c>
      <c r="B27" s="1" t="s">
        <v>20</v>
      </c>
      <c r="C27" s="1">
        <v>299.9995155659999</v>
      </c>
      <c r="D27" s="1">
        <v>81494016</v>
      </c>
      <c r="E27" s="1" t="s">
        <v>60</v>
      </c>
      <c r="F27" s="1" t="s">
        <v>25</v>
      </c>
      <c r="G27" s="1" t="s">
        <v>26</v>
      </c>
      <c r="H27" s="1">
        <v>2499</v>
      </c>
      <c r="I27" s="1">
        <v>29155</v>
      </c>
      <c r="J27" s="1">
        <v>20</v>
      </c>
      <c r="K27" s="1">
        <v>18210</v>
      </c>
      <c r="L27" s="1">
        <v>14534</v>
      </c>
      <c r="M27" s="1">
        <v>14577</v>
      </c>
      <c r="N27" s="1" t="s">
        <v>15</v>
      </c>
      <c r="O27" s="1"/>
      <c r="P27" s="1" t="s">
        <v>16</v>
      </c>
      <c r="Q27" s="1">
        <f>Query13[[#This Row],[program_name.test_cases.input.number_of_variables]]/H27</f>
        <v>5.8331332533013205</v>
      </c>
    </row>
    <row r="28" spans="1:17" hidden="1" x14ac:dyDescent="0.25">
      <c r="A28" s="1" t="s">
        <v>19</v>
      </c>
      <c r="B28" s="1" t="s">
        <v>20</v>
      </c>
      <c r="C28" s="1">
        <v>299.99750348099042</v>
      </c>
      <c r="D28" s="1">
        <v>81223680</v>
      </c>
      <c r="E28" s="1" t="s">
        <v>66</v>
      </c>
      <c r="F28" s="1" t="s">
        <v>25</v>
      </c>
      <c r="G28" s="1" t="s">
        <v>26</v>
      </c>
      <c r="H28" s="1">
        <v>2500</v>
      </c>
      <c r="I28" s="1">
        <v>28900</v>
      </c>
      <c r="J28" s="1">
        <v>20</v>
      </c>
      <c r="K28" s="1">
        <v>18045</v>
      </c>
      <c r="L28" s="1">
        <v>14208</v>
      </c>
      <c r="M28" s="1">
        <v>14639</v>
      </c>
      <c r="N28" s="1" t="s">
        <v>15</v>
      </c>
      <c r="O28" s="1"/>
      <c r="P28" s="1" t="s">
        <v>16</v>
      </c>
      <c r="Q28" s="1">
        <f>Query13[[#This Row],[program_name.test_cases.input.number_of_variables]]/H28</f>
        <v>5.8555999999999999</v>
      </c>
    </row>
    <row r="29" spans="1:17" hidden="1" x14ac:dyDescent="0.25">
      <c r="A29" s="1" t="s">
        <v>19</v>
      </c>
      <c r="B29" s="1" t="s">
        <v>20</v>
      </c>
      <c r="C29" s="1">
        <v>299.99927984099486</v>
      </c>
      <c r="D29" s="1">
        <v>93052928</v>
      </c>
      <c r="E29" s="1" t="s">
        <v>64</v>
      </c>
      <c r="F29" s="1" t="s">
        <v>25</v>
      </c>
      <c r="G29" s="1" t="s">
        <v>26</v>
      </c>
      <c r="H29" s="1">
        <v>5000</v>
      </c>
      <c r="I29" s="1">
        <v>45000</v>
      </c>
      <c r="J29" s="1">
        <v>20</v>
      </c>
      <c r="K29" s="1">
        <v>28108</v>
      </c>
      <c r="L29" s="1">
        <v>22580</v>
      </c>
      <c r="M29" s="1">
        <v>22373</v>
      </c>
      <c r="N29" s="1" t="s">
        <v>15</v>
      </c>
      <c r="O29" s="1"/>
      <c r="P29" s="1" t="s">
        <v>16</v>
      </c>
      <c r="Q29" s="1">
        <f>Query13[[#This Row],[program_name.test_cases.input.number_of_variables]]/H29</f>
        <v>4.4745999999999997</v>
      </c>
    </row>
    <row r="30" spans="1:17" hidden="1" x14ac:dyDescent="0.25">
      <c r="A30" s="1" t="s">
        <v>19</v>
      </c>
      <c r="B30" s="1" t="s">
        <v>20</v>
      </c>
      <c r="C30" s="1">
        <v>299.99957295200147</v>
      </c>
      <c r="D30" s="1">
        <v>90116096</v>
      </c>
      <c r="E30" s="1" t="s">
        <v>65</v>
      </c>
      <c r="F30" s="1" t="s">
        <v>25</v>
      </c>
      <c r="G30" s="1" t="s">
        <v>26</v>
      </c>
      <c r="H30" s="1">
        <v>5000</v>
      </c>
      <c r="I30" s="1">
        <v>57800</v>
      </c>
      <c r="J30" s="1">
        <v>20</v>
      </c>
      <c r="K30" s="1">
        <v>36090</v>
      </c>
      <c r="L30" s="1">
        <v>28817</v>
      </c>
      <c r="M30" s="1">
        <v>28919</v>
      </c>
      <c r="N30" s="1" t="s">
        <v>15</v>
      </c>
      <c r="O30" s="1"/>
      <c r="P30" s="1" t="s">
        <v>16</v>
      </c>
      <c r="Q30" s="1">
        <f>Query13[[#This Row],[program_name.test_cases.input.number_of_variables]]/H30</f>
        <v>5.7838000000000003</v>
      </c>
    </row>
    <row r="31" spans="1:17" hidden="1" x14ac:dyDescent="0.25">
      <c r="A31" s="1" t="s">
        <v>19</v>
      </c>
      <c r="B31" s="1" t="s">
        <v>20</v>
      </c>
      <c r="C31" s="1">
        <v>299.99947155200061</v>
      </c>
      <c r="D31" s="1">
        <v>89509888</v>
      </c>
      <c r="E31" s="1" t="s">
        <v>67</v>
      </c>
      <c r="F31" s="1" t="s">
        <v>25</v>
      </c>
      <c r="G31" s="1" t="s">
        <v>26</v>
      </c>
      <c r="H31" s="1">
        <v>5001</v>
      </c>
      <c r="I31" s="1">
        <v>58345</v>
      </c>
      <c r="J31" s="1">
        <v>20</v>
      </c>
      <c r="K31" s="1">
        <v>36447</v>
      </c>
      <c r="L31" s="1">
        <v>29209</v>
      </c>
      <c r="M31" s="1">
        <v>29071</v>
      </c>
      <c r="N31" s="1" t="s">
        <v>15</v>
      </c>
      <c r="O31" s="1"/>
      <c r="P31" s="1" t="s">
        <v>16</v>
      </c>
      <c r="Q31" s="1">
        <f>Query13[[#This Row],[program_name.test_cases.input.number_of_variables]]/H31</f>
        <v>5.8130373925214958</v>
      </c>
    </row>
    <row r="32" spans="1:17" x14ac:dyDescent="0.25">
      <c r="Q32" s="2"/>
    </row>
    <row r="33" spans="17:17" x14ac:dyDescent="0.25">
      <c r="Q33" s="2"/>
    </row>
    <row r="34" spans="17:17" x14ac:dyDescent="0.25">
      <c r="Q34" s="2"/>
    </row>
    <row r="35" spans="17:17" x14ac:dyDescent="0.25">
      <c r="Q35" s="2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34</xdr:row>
                    <xdr:rowOff>95250</xdr:rowOff>
                  </from>
                  <to>
                    <xdr:col>12</xdr:col>
                    <xdr:colOff>4343400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49E793-7DA4-4F86-809F-F4812D1599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2019-08-05T11:15:53Z</dcterms:modified>
</cp:coreProperties>
</file>