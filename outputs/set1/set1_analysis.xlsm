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DDE6A3B9-AD77-42C4-8ECD-64B7EA522E14}" xr6:coauthVersionLast="43" xr6:coauthVersionMax="43" xr10:uidLastSave="{00000000-0000-0000-0000-000000000000}"/>
  <bookViews>
    <workbookView xWindow="2868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80" i="3" l="1"/>
  <c r="Q90" i="3"/>
  <c r="Q60" i="3"/>
  <c r="Q56" i="3"/>
  <c r="Q86" i="3"/>
  <c r="Q11" i="3"/>
  <c r="Q74" i="3"/>
  <c r="Q70" i="3"/>
  <c r="Q17" i="3"/>
  <c r="Q75" i="3"/>
  <c r="Q44" i="3"/>
  <c r="Q83" i="3"/>
  <c r="Q30" i="3"/>
  <c r="Q42" i="3"/>
  <c r="Q73" i="3"/>
  <c r="Q13" i="3"/>
  <c r="Q2" i="3"/>
  <c r="Q16" i="3"/>
  <c r="Q71" i="3"/>
  <c r="Q85" i="3"/>
  <c r="Q26" i="3"/>
  <c r="Q45" i="3"/>
  <c r="Q31" i="3"/>
  <c r="Q82" i="3"/>
  <c r="Q61" i="3"/>
  <c r="Q7" i="3"/>
  <c r="Q36" i="3"/>
  <c r="Q52" i="3"/>
  <c r="Q19" i="3"/>
  <c r="Q27" i="3"/>
  <c r="Q3" i="3"/>
  <c r="Q32" i="3"/>
  <c r="Q51" i="3"/>
  <c r="Q69" i="3"/>
  <c r="Q23" i="3"/>
  <c r="Q6" i="3"/>
  <c r="Q46" i="3"/>
  <c r="Q10" i="3"/>
  <c r="Q62" i="3"/>
  <c r="Q66" i="3"/>
  <c r="Q57" i="3"/>
  <c r="Q59" i="3"/>
  <c r="Q24" i="3"/>
  <c r="Q55" i="3"/>
  <c r="Q87" i="3"/>
  <c r="Q12" i="3"/>
  <c r="Q25" i="3"/>
  <c r="Q40" i="3"/>
  <c r="Q41" i="3"/>
  <c r="Q78" i="3"/>
  <c r="Q38" i="3"/>
  <c r="Q91" i="3"/>
  <c r="Q53" i="3"/>
  <c r="Q81" i="3"/>
  <c r="Q68" i="3"/>
  <c r="Q39" i="3"/>
  <c r="Q29" i="3"/>
  <c r="Q48" i="3"/>
  <c r="Q64" i="3"/>
  <c r="Q18" i="3"/>
  <c r="Q22" i="3"/>
  <c r="Q34" i="3"/>
  <c r="Q28" i="3"/>
  <c r="Q5" i="3"/>
  <c r="Q72" i="3"/>
  <c r="Q84" i="3"/>
  <c r="Q33" i="3"/>
  <c r="Q49" i="3"/>
  <c r="Q67" i="3"/>
  <c r="Q14" i="3"/>
  <c r="Q9" i="3"/>
  <c r="Q43" i="3"/>
  <c r="Q89" i="3"/>
  <c r="Q47" i="3"/>
  <c r="Q79" i="3"/>
  <c r="Q54" i="3"/>
  <c r="Q58" i="3"/>
  <c r="Q76" i="3"/>
  <c r="Q78" i="2"/>
  <c r="Q57" i="2"/>
  <c r="Q23" i="2"/>
  <c r="Q69" i="2"/>
  <c r="Q26" i="2"/>
  <c r="Q60" i="2"/>
  <c r="Q83" i="2"/>
  <c r="Q43" i="2"/>
  <c r="Q51" i="2"/>
  <c r="Q7" i="2"/>
  <c r="Q3" i="2"/>
  <c r="Q19" i="2"/>
  <c r="Q87" i="2"/>
  <c r="Q41" i="2"/>
  <c r="Q61" i="2"/>
  <c r="Q39" i="2"/>
  <c r="Q79" i="2"/>
  <c r="Q12" i="2"/>
  <c r="Q29" i="2"/>
  <c r="Q45" i="2"/>
  <c r="Q18" i="2"/>
  <c r="Q2" i="2"/>
  <c r="Q34" i="2"/>
  <c r="Q76" i="2"/>
  <c r="Q28" i="2"/>
  <c r="Q5" i="2"/>
  <c r="Q52" i="2"/>
  <c r="Q16" i="2"/>
  <c r="Q82" i="2"/>
  <c r="Q68" i="2"/>
  <c r="Q71" i="2"/>
  <c r="Q25" i="2"/>
  <c r="Q67" i="2"/>
  <c r="Q14" i="2"/>
  <c r="Q38" i="2"/>
  <c r="Q54" i="2"/>
  <c r="Q49" i="2"/>
  <c r="Q46" i="2"/>
  <c r="Q62" i="2"/>
  <c r="Q80" i="2"/>
  <c r="Q47" i="2"/>
  <c r="Q32" i="2"/>
  <c r="Q56" i="2"/>
  <c r="Q73" i="2"/>
  <c r="Q24" i="2"/>
  <c r="Q27" i="2"/>
  <c r="Q44" i="2"/>
  <c r="Q30" i="2"/>
  <c r="Q11" i="2"/>
  <c r="Q85" i="2"/>
  <c r="Q40" i="2"/>
  <c r="Q59" i="2"/>
  <c r="Q74" i="2"/>
  <c r="Q22" i="2"/>
  <c r="Q13" i="2"/>
  <c r="Q53" i="2"/>
  <c r="Q64" i="2"/>
  <c r="Q72" i="2"/>
  <c r="Q89" i="2"/>
  <c r="Q4" i="2"/>
  <c r="Q37" i="2" l="1"/>
  <c r="Q90" i="2"/>
  <c r="Q10" i="2"/>
  <c r="Q66" i="2"/>
  <c r="Q81" i="2"/>
  <c r="Q20" i="2"/>
  <c r="Q33" i="2"/>
  <c r="Q4" i="3"/>
  <c r="Q8" i="3"/>
  <c r="Q15" i="3"/>
  <c r="Q20" i="3"/>
  <c r="Q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<sst xmlns="http://schemas.openxmlformats.org/spreadsheetml/2006/main" count="1266" uniqueCount="119">
  <si>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</si>
  <si>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</si>
  <si>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</si>
  <si>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</si>
  <si>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</si>
  <si>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</si>
  <si>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</si>
  <si>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</si>
  <si>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</si>
  <si>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</si>
  <si>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</si>
  <si>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</si>
  <si>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</si>
  <si>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</si>
  <si>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</si>
  <si>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</si>
  <si>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</si>
  <si>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</si>
  <si>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</si>
  <si>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</si>
  <si>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</si>
  <si>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</si>
  <si>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</si>
  <si>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</si>
  <si>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</si>
  <si>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</si>
  <si>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var / clauses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</si>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</sst>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8-4149-BFC8-793DEF27E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81280"/>
        <c:axId val="24518592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200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500</c:v>
                </c:pt>
                <c:pt idx="8">
                  <c:v>200</c:v>
                </c:pt>
                <c:pt idx="9">
                  <c:v>100</c:v>
                </c:pt>
                <c:pt idx="10">
                  <c:v>500</c:v>
                </c:pt>
                <c:pt idx="11">
                  <c:v>500</c:v>
                </c:pt>
                <c:pt idx="12">
                  <c:v>1000</c:v>
                </c:pt>
                <c:pt idx="13">
                  <c:v>500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2500</c:v>
                </c:pt>
                <c:pt idx="18">
                  <c:v>500</c:v>
                </c:pt>
                <c:pt idx="19">
                  <c:v>2500</c:v>
                </c:pt>
                <c:pt idx="20">
                  <c:v>1000</c:v>
                </c:pt>
              </c:numCache>
            </c:numRef>
          </c:cat>
          <c:val>
            <c:numRef>
              <c:f>Prover9!$C$2:$C$91</c:f>
              <c:numCache>
                <c:formatCode>General</c:formatCode>
                <c:ptCount val="21"/>
                <c:pt idx="0">
                  <c:v>2.3124239989556372E-2</c:v>
                </c:pt>
                <c:pt idx="1">
                  <c:v>2.1462353994138539E-2</c:v>
                </c:pt>
                <c:pt idx="2" formatCode="0.000000000">
                  <c:v>5.3029003960546106E-2</c:v>
                </c:pt>
                <c:pt idx="3">
                  <c:v>3.2018577971030027E-2</c:v>
                </c:pt>
                <c:pt idx="4">
                  <c:v>5.2614741027355194E-2</c:v>
                </c:pt>
                <c:pt idx="5">
                  <c:v>0.11420452501624824</c:v>
                </c:pt>
                <c:pt idx="6" formatCode="0.000000000">
                  <c:v>0.15577981801470742</c:v>
                </c:pt>
                <c:pt idx="7">
                  <c:v>0.70182396995369345</c:v>
                </c:pt>
                <c:pt idx="8">
                  <c:v>0.3002178969909437</c:v>
                </c:pt>
                <c:pt idx="9" formatCode="0.000000000">
                  <c:v>0.14543599000899121</c:v>
                </c:pt>
                <c:pt idx="10">
                  <c:v>1.4936829950311219</c:v>
                </c:pt>
                <c:pt idx="11" formatCode="0.000000000">
                  <c:v>3.0416369649465196</c:v>
                </c:pt>
                <c:pt idx="12" formatCode="0.000000000">
                  <c:v>6.413694208022207</c:v>
                </c:pt>
                <c:pt idx="13" formatCode="0.000000000">
                  <c:v>4.8539105160161853</c:v>
                </c:pt>
                <c:pt idx="14" formatCode="0.000000000">
                  <c:v>13.829431433987338</c:v>
                </c:pt>
                <c:pt idx="15">
                  <c:v>29.267017912992745</c:v>
                </c:pt>
                <c:pt idx="16">
                  <c:v>43.739428009022959</c:v>
                </c:pt>
                <c:pt idx="17">
                  <c:v>139.66695792996325</c:v>
                </c:pt>
                <c:pt idx="18" formatCode="0.000000000">
                  <c:v>26.539349348982796</c:v>
                </c:pt>
                <c:pt idx="19">
                  <c:v>265.69005256699165</c:v>
                </c:pt>
                <c:pt idx="20">
                  <c:v>242.35224190796723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245185920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4881280"/>
        <c:crosses val="max"/>
        <c:crossBetween val="between"/>
      </c:valAx>
      <c:catAx>
        <c:axId val="2448812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85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D-4B84-9F43-9E1B8785A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24576"/>
        <c:axId val="24519334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200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500</c:v>
                </c:pt>
                <c:pt idx="8">
                  <c:v>200</c:v>
                </c:pt>
                <c:pt idx="9">
                  <c:v>100</c:v>
                </c:pt>
                <c:pt idx="10">
                  <c:v>500</c:v>
                </c:pt>
                <c:pt idx="11">
                  <c:v>500</c:v>
                </c:pt>
                <c:pt idx="12">
                  <c:v>1000</c:v>
                </c:pt>
                <c:pt idx="13">
                  <c:v>500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2500</c:v>
                </c:pt>
                <c:pt idx="18">
                  <c:v>500</c:v>
                </c:pt>
                <c:pt idx="19">
                  <c:v>2500</c:v>
                </c:pt>
                <c:pt idx="20">
                  <c:v>1000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21"/>
                <c:pt idx="0">
                  <c:v>2748416</c:v>
                </c:pt>
                <c:pt idx="1">
                  <c:v>2686976</c:v>
                </c:pt>
                <c:pt idx="2" formatCode="0">
                  <c:v>2727936</c:v>
                </c:pt>
                <c:pt idx="3">
                  <c:v>2686976</c:v>
                </c:pt>
                <c:pt idx="4">
                  <c:v>2985984</c:v>
                </c:pt>
                <c:pt idx="5">
                  <c:v>2994176</c:v>
                </c:pt>
                <c:pt idx="6" formatCode="0">
                  <c:v>2998272</c:v>
                </c:pt>
                <c:pt idx="7">
                  <c:v>3272704</c:v>
                </c:pt>
                <c:pt idx="8">
                  <c:v>3268608</c:v>
                </c:pt>
                <c:pt idx="9" formatCode="0">
                  <c:v>3293184</c:v>
                </c:pt>
                <c:pt idx="10">
                  <c:v>3543040</c:v>
                </c:pt>
                <c:pt idx="11" formatCode="0">
                  <c:v>3837952</c:v>
                </c:pt>
                <c:pt idx="12" formatCode="0">
                  <c:v>4100096</c:v>
                </c:pt>
                <c:pt idx="13" formatCode="0">
                  <c:v>4362240</c:v>
                </c:pt>
                <c:pt idx="14" formatCode="0">
                  <c:v>4898816</c:v>
                </c:pt>
                <c:pt idx="15">
                  <c:v>5414912</c:v>
                </c:pt>
                <c:pt idx="16">
                  <c:v>6221824</c:v>
                </c:pt>
                <c:pt idx="17">
                  <c:v>6365184</c:v>
                </c:pt>
                <c:pt idx="18" formatCode="0">
                  <c:v>6160384</c:v>
                </c:pt>
                <c:pt idx="19">
                  <c:v>8151040</c:v>
                </c:pt>
                <c:pt idx="20">
                  <c:v>9142272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</c:valAx>
      <c:valAx>
        <c:axId val="24519334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5224576"/>
        <c:crosses val="max"/>
        <c:crossBetween val="between"/>
      </c:valAx>
      <c:catAx>
        <c:axId val="2452245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9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4-46B6-B5B5-B3E4E74D3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30976"/>
        <c:axId val="245224192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General</c:formatCode>
                <c:ptCount val="21"/>
                <c:pt idx="0">
                  <c:v>200</c:v>
                </c:pt>
                <c:pt idx="1">
                  <c:v>300</c:v>
                </c:pt>
                <c:pt idx="2" formatCode="0.00">
                  <c:v>400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 formatCode="0.00">
                  <c:v>800</c:v>
                </c:pt>
                <c:pt idx="7">
                  <c:v>1000</c:v>
                </c:pt>
                <c:pt idx="8">
                  <c:v>1000</c:v>
                </c:pt>
                <c:pt idx="9" formatCode="0.00">
                  <c:v>1000</c:v>
                </c:pt>
                <c:pt idx="10">
                  <c:v>1500</c:v>
                </c:pt>
                <c:pt idx="11" formatCode="0">
                  <c:v>2000</c:v>
                </c:pt>
                <c:pt idx="12" formatCode="0.00">
                  <c:v>2000</c:v>
                </c:pt>
                <c:pt idx="13" formatCode="0.00">
                  <c:v>2500</c:v>
                </c:pt>
                <c:pt idx="14" formatCode="0.00">
                  <c:v>3000</c:v>
                </c:pt>
                <c:pt idx="15">
                  <c:v>4000</c:v>
                </c:pt>
                <c:pt idx="16">
                  <c:v>5000</c:v>
                </c:pt>
                <c:pt idx="17">
                  <c:v>5000</c:v>
                </c:pt>
                <c:pt idx="18" formatCode="0.00">
                  <c:v>5000</c:v>
                </c:pt>
                <c:pt idx="19">
                  <c:v>7500</c:v>
                </c:pt>
                <c:pt idx="20">
                  <c:v>10000</c:v>
                </c:pt>
              </c:numCache>
            </c:numRef>
          </c:cat>
          <c:val>
            <c:numRef>
              <c:f>Prover9!$C$2:$C$91</c:f>
              <c:numCache>
                <c:formatCode>General</c:formatCode>
                <c:ptCount val="21"/>
                <c:pt idx="0">
                  <c:v>2.3124239989556372E-2</c:v>
                </c:pt>
                <c:pt idx="1">
                  <c:v>2.1462353994138539E-2</c:v>
                </c:pt>
                <c:pt idx="2" formatCode="0.000000000">
                  <c:v>5.3029003960546106E-2</c:v>
                </c:pt>
                <c:pt idx="3">
                  <c:v>3.2018577971030027E-2</c:v>
                </c:pt>
                <c:pt idx="4">
                  <c:v>5.2614741027355194E-2</c:v>
                </c:pt>
                <c:pt idx="5">
                  <c:v>0.11420452501624824</c:v>
                </c:pt>
                <c:pt idx="6" formatCode="0.000000000">
                  <c:v>0.15577981801470742</c:v>
                </c:pt>
                <c:pt idx="7">
                  <c:v>0.70182396995369345</c:v>
                </c:pt>
                <c:pt idx="8">
                  <c:v>0.3002178969909437</c:v>
                </c:pt>
                <c:pt idx="9" formatCode="0.000000000">
                  <c:v>0.14543599000899121</c:v>
                </c:pt>
                <c:pt idx="10">
                  <c:v>1.4936829950311219</c:v>
                </c:pt>
                <c:pt idx="11" formatCode="0.000000000">
                  <c:v>3.0416369649465196</c:v>
                </c:pt>
                <c:pt idx="12" formatCode="0.000000000">
                  <c:v>6.413694208022207</c:v>
                </c:pt>
                <c:pt idx="13" formatCode="0.000000000">
                  <c:v>4.8539105160161853</c:v>
                </c:pt>
                <c:pt idx="14" formatCode="0.000000000">
                  <c:v>13.829431433987338</c:v>
                </c:pt>
                <c:pt idx="15">
                  <c:v>29.267017912992745</c:v>
                </c:pt>
                <c:pt idx="16">
                  <c:v>43.739428009022959</c:v>
                </c:pt>
                <c:pt idx="17">
                  <c:v>139.66695792996325</c:v>
                </c:pt>
                <c:pt idx="18" formatCode="0.000000000">
                  <c:v>26.539349348982796</c:v>
                </c:pt>
                <c:pt idx="19">
                  <c:v>265.69005256699165</c:v>
                </c:pt>
                <c:pt idx="20">
                  <c:v>242.35224190796723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24522419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5230976"/>
        <c:crosses val="max"/>
        <c:crossBetween val="between"/>
      </c:valAx>
      <c:catAx>
        <c:axId val="2452309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22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1-42D6-A2D8-68A7C334A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239808"/>
        <c:axId val="24718400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General</c:formatCode>
                <c:ptCount val="21"/>
                <c:pt idx="0">
                  <c:v>127</c:v>
                </c:pt>
                <c:pt idx="1">
                  <c:v>188</c:v>
                </c:pt>
                <c:pt idx="2" formatCode="0.00">
                  <c:v>263</c:v>
                </c:pt>
                <c:pt idx="3">
                  <c:v>247</c:v>
                </c:pt>
                <c:pt idx="4">
                  <c:v>316</c:v>
                </c:pt>
                <c:pt idx="5">
                  <c:v>376</c:v>
                </c:pt>
                <c:pt idx="6" formatCode="0.00">
                  <c:v>518</c:v>
                </c:pt>
                <c:pt idx="7">
                  <c:v>621</c:v>
                </c:pt>
                <c:pt idx="8">
                  <c:v>642</c:v>
                </c:pt>
                <c:pt idx="9" formatCode="0.00">
                  <c:v>619</c:v>
                </c:pt>
                <c:pt idx="10">
                  <c:v>947</c:v>
                </c:pt>
                <c:pt idx="11" formatCode="0">
                  <c:v>1257</c:v>
                </c:pt>
                <c:pt idx="12" formatCode="0.00">
                  <c:v>1240</c:v>
                </c:pt>
                <c:pt idx="13" formatCode="0.00">
                  <c:v>1542</c:v>
                </c:pt>
                <c:pt idx="14" formatCode="0.00">
                  <c:v>1853</c:v>
                </c:pt>
                <c:pt idx="15">
                  <c:v>2507</c:v>
                </c:pt>
                <c:pt idx="16">
                  <c:v>3066</c:v>
                </c:pt>
                <c:pt idx="17">
                  <c:v>3123</c:v>
                </c:pt>
                <c:pt idx="18" formatCode="0.00">
                  <c:v>3130</c:v>
                </c:pt>
                <c:pt idx="19">
                  <c:v>4653</c:v>
                </c:pt>
                <c:pt idx="20">
                  <c:v>6221</c:v>
                </c:pt>
              </c:numCache>
            </c:numRef>
          </c:cat>
          <c:val>
            <c:numRef>
              <c:f>Prover9!$C$2:$C$91</c:f>
              <c:numCache>
                <c:formatCode>General</c:formatCode>
                <c:ptCount val="21"/>
                <c:pt idx="0">
                  <c:v>2.3124239989556372E-2</c:v>
                </c:pt>
                <c:pt idx="1">
                  <c:v>2.1462353994138539E-2</c:v>
                </c:pt>
                <c:pt idx="2" formatCode="0.000000000">
                  <c:v>5.3029003960546106E-2</c:v>
                </c:pt>
                <c:pt idx="3">
                  <c:v>3.2018577971030027E-2</c:v>
                </c:pt>
                <c:pt idx="4">
                  <c:v>5.2614741027355194E-2</c:v>
                </c:pt>
                <c:pt idx="5">
                  <c:v>0.11420452501624824</c:v>
                </c:pt>
                <c:pt idx="6" formatCode="0.000000000">
                  <c:v>0.15577981801470742</c:v>
                </c:pt>
                <c:pt idx="7">
                  <c:v>0.70182396995369345</c:v>
                </c:pt>
                <c:pt idx="8">
                  <c:v>0.3002178969909437</c:v>
                </c:pt>
                <c:pt idx="9" formatCode="0.000000000">
                  <c:v>0.14543599000899121</c:v>
                </c:pt>
                <c:pt idx="10">
                  <c:v>1.4936829950311219</c:v>
                </c:pt>
                <c:pt idx="11" formatCode="0.000000000">
                  <c:v>3.0416369649465196</c:v>
                </c:pt>
                <c:pt idx="12" formatCode="0.000000000">
                  <c:v>6.413694208022207</c:v>
                </c:pt>
                <c:pt idx="13" formatCode="0.000000000">
                  <c:v>4.8539105160161853</c:v>
                </c:pt>
                <c:pt idx="14" formatCode="0.000000000">
                  <c:v>13.829431433987338</c:v>
                </c:pt>
                <c:pt idx="15">
                  <c:v>29.267017912992745</c:v>
                </c:pt>
                <c:pt idx="16">
                  <c:v>43.739428009022959</c:v>
                </c:pt>
                <c:pt idx="17">
                  <c:v>139.66695792996325</c:v>
                </c:pt>
                <c:pt idx="18" formatCode="0.000000000">
                  <c:v>26.539349348982796</c:v>
                </c:pt>
                <c:pt idx="19">
                  <c:v>265.69005256699165</c:v>
                </c:pt>
                <c:pt idx="20">
                  <c:v>242.35224190796723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247184000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7239808"/>
        <c:crosses val="max"/>
        <c:crossBetween val="between"/>
      </c:valAx>
      <c:catAx>
        <c:axId val="24723980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184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A-4773-8ABB-87BDCFEFD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44128"/>
        <c:axId val="2473418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General</c:formatCode>
                <c:ptCount val="21"/>
                <c:pt idx="0">
                  <c:v>93</c:v>
                </c:pt>
                <c:pt idx="1">
                  <c:v>147</c:v>
                </c:pt>
                <c:pt idx="2" formatCode="0.00">
                  <c:v>211</c:v>
                </c:pt>
                <c:pt idx="3">
                  <c:v>191</c:v>
                </c:pt>
                <c:pt idx="4">
                  <c:v>243</c:v>
                </c:pt>
                <c:pt idx="5">
                  <c:v>312</c:v>
                </c:pt>
                <c:pt idx="6" formatCode="0.00">
                  <c:v>396</c:v>
                </c:pt>
                <c:pt idx="7">
                  <c:v>524</c:v>
                </c:pt>
                <c:pt idx="8">
                  <c:v>510</c:v>
                </c:pt>
                <c:pt idx="9" formatCode="0.00">
                  <c:v>488</c:v>
                </c:pt>
                <c:pt idx="10">
                  <c:v>730</c:v>
                </c:pt>
                <c:pt idx="11" formatCode="0">
                  <c:v>974</c:v>
                </c:pt>
                <c:pt idx="12" formatCode="0.00">
                  <c:v>948</c:v>
                </c:pt>
                <c:pt idx="13" formatCode="0.00">
                  <c:v>1214</c:v>
                </c:pt>
                <c:pt idx="14" formatCode="0.00">
                  <c:v>1501</c:v>
                </c:pt>
                <c:pt idx="15">
                  <c:v>2032</c:v>
                </c:pt>
                <c:pt idx="16">
                  <c:v>2538</c:v>
                </c:pt>
                <c:pt idx="17">
                  <c:v>2538</c:v>
                </c:pt>
                <c:pt idx="18" formatCode="0.00">
                  <c:v>2489</c:v>
                </c:pt>
                <c:pt idx="19">
                  <c:v>3774</c:v>
                </c:pt>
                <c:pt idx="20">
                  <c:v>5012</c:v>
                </c:pt>
              </c:numCache>
            </c:numRef>
          </c:cat>
          <c:val>
            <c:numRef>
              <c:f>Prover9!$C$2:$C$91</c:f>
              <c:numCache>
                <c:formatCode>General</c:formatCode>
                <c:ptCount val="21"/>
                <c:pt idx="0">
                  <c:v>2.3124239989556372E-2</c:v>
                </c:pt>
                <c:pt idx="1">
                  <c:v>2.1462353994138539E-2</c:v>
                </c:pt>
                <c:pt idx="2" formatCode="0.000000000">
                  <c:v>5.3029003960546106E-2</c:v>
                </c:pt>
                <c:pt idx="3">
                  <c:v>3.2018577971030027E-2</c:v>
                </c:pt>
                <c:pt idx="4">
                  <c:v>5.2614741027355194E-2</c:v>
                </c:pt>
                <c:pt idx="5">
                  <c:v>0.11420452501624824</c:v>
                </c:pt>
                <c:pt idx="6" formatCode="0.000000000">
                  <c:v>0.15577981801470742</c:v>
                </c:pt>
                <c:pt idx="7">
                  <c:v>0.70182396995369345</c:v>
                </c:pt>
                <c:pt idx="8">
                  <c:v>0.3002178969909437</c:v>
                </c:pt>
                <c:pt idx="9" formatCode="0.000000000">
                  <c:v>0.14543599000899121</c:v>
                </c:pt>
                <c:pt idx="10">
                  <c:v>1.4936829950311219</c:v>
                </c:pt>
                <c:pt idx="11" formatCode="0.000000000">
                  <c:v>3.0416369649465196</c:v>
                </c:pt>
                <c:pt idx="12" formatCode="0.000000000">
                  <c:v>6.413694208022207</c:v>
                </c:pt>
                <c:pt idx="13" formatCode="0.000000000">
                  <c:v>4.8539105160161853</c:v>
                </c:pt>
                <c:pt idx="14" formatCode="0.000000000">
                  <c:v>13.829431433987338</c:v>
                </c:pt>
                <c:pt idx="15">
                  <c:v>29.267017912992745</c:v>
                </c:pt>
                <c:pt idx="16">
                  <c:v>43.739428009022959</c:v>
                </c:pt>
                <c:pt idx="17">
                  <c:v>139.66695792996325</c:v>
                </c:pt>
                <c:pt idx="18" formatCode="0.000000000">
                  <c:v>26.539349348982796</c:v>
                </c:pt>
                <c:pt idx="19">
                  <c:v>265.69005256699165</c:v>
                </c:pt>
                <c:pt idx="20">
                  <c:v>242.35224190796723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24734182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7344128"/>
        <c:crosses val="max"/>
        <c:crossBetween val="between"/>
      </c:valAx>
      <c:catAx>
        <c:axId val="2473441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F-45D6-8A32-E927117AF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5360"/>
        <c:axId val="2473482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General</c:formatCode>
                <c:ptCount val="21"/>
                <c:pt idx="0">
                  <c:v>103</c:v>
                </c:pt>
                <c:pt idx="1">
                  <c:v>149</c:v>
                </c:pt>
                <c:pt idx="2" formatCode="0.00">
                  <c:v>187</c:v>
                </c:pt>
                <c:pt idx="3">
                  <c:v>200</c:v>
                </c:pt>
                <c:pt idx="4">
                  <c:v>249</c:v>
                </c:pt>
                <c:pt idx="5">
                  <c:v>286</c:v>
                </c:pt>
                <c:pt idx="6" formatCode="0.00">
                  <c:v>399</c:v>
                </c:pt>
                <c:pt idx="7">
                  <c:v>475</c:v>
                </c:pt>
                <c:pt idx="8">
                  <c:v>482</c:v>
                </c:pt>
                <c:pt idx="9" formatCode="0.00">
                  <c:v>493</c:v>
                </c:pt>
                <c:pt idx="10">
                  <c:v>766</c:v>
                </c:pt>
                <c:pt idx="11" formatCode="0">
                  <c:v>1014</c:v>
                </c:pt>
                <c:pt idx="12" formatCode="0.00">
                  <c:v>1049</c:v>
                </c:pt>
                <c:pt idx="13" formatCode="0.00">
                  <c:v>1272</c:v>
                </c:pt>
                <c:pt idx="14" formatCode="0.00">
                  <c:v>1493</c:v>
                </c:pt>
                <c:pt idx="15">
                  <c:v>1960</c:v>
                </c:pt>
                <c:pt idx="16">
                  <c:v>2451</c:v>
                </c:pt>
                <c:pt idx="17">
                  <c:v>2460</c:v>
                </c:pt>
                <c:pt idx="18" formatCode="0.00">
                  <c:v>2479</c:v>
                </c:pt>
                <c:pt idx="19">
                  <c:v>3720</c:v>
                </c:pt>
                <c:pt idx="20">
                  <c:v>4945</c:v>
                </c:pt>
              </c:numCache>
            </c:numRef>
          </c:cat>
          <c:val>
            <c:numRef>
              <c:f>Prover9!$C$2:$C$91</c:f>
              <c:numCache>
                <c:formatCode>General</c:formatCode>
                <c:ptCount val="21"/>
                <c:pt idx="0">
                  <c:v>2.3124239989556372E-2</c:v>
                </c:pt>
                <c:pt idx="1">
                  <c:v>2.1462353994138539E-2</c:v>
                </c:pt>
                <c:pt idx="2" formatCode="0.000000000">
                  <c:v>5.3029003960546106E-2</c:v>
                </c:pt>
                <c:pt idx="3">
                  <c:v>3.2018577971030027E-2</c:v>
                </c:pt>
                <c:pt idx="4">
                  <c:v>5.2614741027355194E-2</c:v>
                </c:pt>
                <c:pt idx="5">
                  <c:v>0.11420452501624824</c:v>
                </c:pt>
                <c:pt idx="6" formatCode="0.000000000">
                  <c:v>0.15577981801470742</c:v>
                </c:pt>
                <c:pt idx="7">
                  <c:v>0.70182396995369345</c:v>
                </c:pt>
                <c:pt idx="8">
                  <c:v>0.3002178969909437</c:v>
                </c:pt>
                <c:pt idx="9" formatCode="0.000000000">
                  <c:v>0.14543599000899121</c:v>
                </c:pt>
                <c:pt idx="10">
                  <c:v>1.4936829950311219</c:v>
                </c:pt>
                <c:pt idx="11" formatCode="0.000000000">
                  <c:v>3.0416369649465196</c:v>
                </c:pt>
                <c:pt idx="12" formatCode="0.000000000">
                  <c:v>6.413694208022207</c:v>
                </c:pt>
                <c:pt idx="13" formatCode="0.000000000">
                  <c:v>4.8539105160161853</c:v>
                </c:pt>
                <c:pt idx="14" formatCode="0.000000000">
                  <c:v>13.829431433987338</c:v>
                </c:pt>
                <c:pt idx="15">
                  <c:v>29.267017912992745</c:v>
                </c:pt>
                <c:pt idx="16">
                  <c:v>43.739428009022959</c:v>
                </c:pt>
                <c:pt idx="17">
                  <c:v>139.66695792996325</c:v>
                </c:pt>
                <c:pt idx="18" formatCode="0.000000000">
                  <c:v>26.539349348982796</c:v>
                </c:pt>
                <c:pt idx="19">
                  <c:v>265.69005256699165</c:v>
                </c:pt>
                <c:pt idx="20">
                  <c:v>242.35224190796723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24734822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7375360"/>
        <c:crosses val="max"/>
        <c:crossBetween val="between"/>
      </c:valAx>
      <c:catAx>
        <c:axId val="24737536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B-433C-B5E1-7F41C2805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20800"/>
        <c:axId val="24737497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General</c:formatCode>
                <c:ptCount val="21"/>
                <c:pt idx="0">
                  <c:v>200</c:v>
                </c:pt>
                <c:pt idx="1">
                  <c:v>300</c:v>
                </c:pt>
                <c:pt idx="2" formatCode="0.00">
                  <c:v>400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 formatCode="0.00">
                  <c:v>800</c:v>
                </c:pt>
                <c:pt idx="7">
                  <c:v>1000</c:v>
                </c:pt>
                <c:pt idx="8">
                  <c:v>1000</c:v>
                </c:pt>
                <c:pt idx="9" formatCode="0.00">
                  <c:v>1000</c:v>
                </c:pt>
                <c:pt idx="10">
                  <c:v>1500</c:v>
                </c:pt>
                <c:pt idx="11" formatCode="0">
                  <c:v>2000</c:v>
                </c:pt>
                <c:pt idx="12" formatCode="0.00">
                  <c:v>2000</c:v>
                </c:pt>
                <c:pt idx="13" formatCode="0.00">
                  <c:v>2500</c:v>
                </c:pt>
                <c:pt idx="14" formatCode="0.00">
                  <c:v>3000</c:v>
                </c:pt>
                <c:pt idx="15">
                  <c:v>4000</c:v>
                </c:pt>
                <c:pt idx="16">
                  <c:v>5000</c:v>
                </c:pt>
                <c:pt idx="17">
                  <c:v>5000</c:v>
                </c:pt>
                <c:pt idx="18" formatCode="0.00">
                  <c:v>5000</c:v>
                </c:pt>
                <c:pt idx="19">
                  <c:v>7500</c:v>
                </c:pt>
                <c:pt idx="20">
                  <c:v>10000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21"/>
                <c:pt idx="0">
                  <c:v>2748416</c:v>
                </c:pt>
                <c:pt idx="1">
                  <c:v>2686976</c:v>
                </c:pt>
                <c:pt idx="2" formatCode="0">
                  <c:v>2727936</c:v>
                </c:pt>
                <c:pt idx="3">
                  <c:v>2686976</c:v>
                </c:pt>
                <c:pt idx="4">
                  <c:v>2985984</c:v>
                </c:pt>
                <c:pt idx="5">
                  <c:v>2994176</c:v>
                </c:pt>
                <c:pt idx="6" formatCode="0">
                  <c:v>2998272</c:v>
                </c:pt>
                <c:pt idx="7">
                  <c:v>3272704</c:v>
                </c:pt>
                <c:pt idx="8">
                  <c:v>3268608</c:v>
                </c:pt>
                <c:pt idx="9" formatCode="0">
                  <c:v>3293184</c:v>
                </c:pt>
                <c:pt idx="10">
                  <c:v>3543040</c:v>
                </c:pt>
                <c:pt idx="11" formatCode="0">
                  <c:v>3837952</c:v>
                </c:pt>
                <c:pt idx="12" formatCode="0">
                  <c:v>4100096</c:v>
                </c:pt>
                <c:pt idx="13" formatCode="0">
                  <c:v>4362240</c:v>
                </c:pt>
                <c:pt idx="14" formatCode="0">
                  <c:v>4898816</c:v>
                </c:pt>
                <c:pt idx="15">
                  <c:v>5414912</c:v>
                </c:pt>
                <c:pt idx="16">
                  <c:v>6221824</c:v>
                </c:pt>
                <c:pt idx="17">
                  <c:v>6365184</c:v>
                </c:pt>
                <c:pt idx="18" formatCode="0">
                  <c:v>6160384</c:v>
                </c:pt>
                <c:pt idx="19">
                  <c:v>8151040</c:v>
                </c:pt>
                <c:pt idx="20">
                  <c:v>9142272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</c:valAx>
      <c:valAx>
        <c:axId val="24737497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7420800"/>
        <c:crosses val="max"/>
        <c:crossBetween val="between"/>
      </c:valAx>
      <c:catAx>
        <c:axId val="2474208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74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4-452D-946D-3B8C79D1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85632"/>
        <c:axId val="2474204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General</c:formatCode>
                <c:ptCount val="21"/>
                <c:pt idx="0">
                  <c:v>127</c:v>
                </c:pt>
                <c:pt idx="1">
                  <c:v>188</c:v>
                </c:pt>
                <c:pt idx="2" formatCode="0.00">
                  <c:v>263</c:v>
                </c:pt>
                <c:pt idx="3">
                  <c:v>247</c:v>
                </c:pt>
                <c:pt idx="4">
                  <c:v>316</c:v>
                </c:pt>
                <c:pt idx="5">
                  <c:v>376</c:v>
                </c:pt>
                <c:pt idx="6" formatCode="0.00">
                  <c:v>518</c:v>
                </c:pt>
                <c:pt idx="7">
                  <c:v>621</c:v>
                </c:pt>
                <c:pt idx="8">
                  <c:v>642</c:v>
                </c:pt>
                <c:pt idx="9" formatCode="0.00">
                  <c:v>619</c:v>
                </c:pt>
                <c:pt idx="10">
                  <c:v>947</c:v>
                </c:pt>
                <c:pt idx="11" formatCode="0">
                  <c:v>1257</c:v>
                </c:pt>
                <c:pt idx="12" formatCode="0.00">
                  <c:v>1240</c:v>
                </c:pt>
                <c:pt idx="13" formatCode="0.00">
                  <c:v>1542</c:v>
                </c:pt>
                <c:pt idx="14" formatCode="0.00">
                  <c:v>1853</c:v>
                </c:pt>
                <c:pt idx="15">
                  <c:v>2507</c:v>
                </c:pt>
                <c:pt idx="16">
                  <c:v>3066</c:v>
                </c:pt>
                <c:pt idx="17">
                  <c:v>3123</c:v>
                </c:pt>
                <c:pt idx="18" formatCode="0.00">
                  <c:v>3130</c:v>
                </c:pt>
                <c:pt idx="19">
                  <c:v>4653</c:v>
                </c:pt>
                <c:pt idx="20">
                  <c:v>6221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21"/>
                <c:pt idx="0">
                  <c:v>2748416</c:v>
                </c:pt>
                <c:pt idx="1">
                  <c:v>2686976</c:v>
                </c:pt>
                <c:pt idx="2" formatCode="0">
                  <c:v>2727936</c:v>
                </c:pt>
                <c:pt idx="3">
                  <c:v>2686976</c:v>
                </c:pt>
                <c:pt idx="4">
                  <c:v>2985984</c:v>
                </c:pt>
                <c:pt idx="5">
                  <c:v>2994176</c:v>
                </c:pt>
                <c:pt idx="6" formatCode="0">
                  <c:v>2998272</c:v>
                </c:pt>
                <c:pt idx="7">
                  <c:v>3272704</c:v>
                </c:pt>
                <c:pt idx="8">
                  <c:v>3268608</c:v>
                </c:pt>
                <c:pt idx="9" formatCode="0">
                  <c:v>3293184</c:v>
                </c:pt>
                <c:pt idx="10">
                  <c:v>3543040</c:v>
                </c:pt>
                <c:pt idx="11" formatCode="0">
                  <c:v>3837952</c:v>
                </c:pt>
                <c:pt idx="12" formatCode="0">
                  <c:v>4100096</c:v>
                </c:pt>
                <c:pt idx="13" formatCode="0">
                  <c:v>4362240</c:v>
                </c:pt>
                <c:pt idx="14" formatCode="0">
                  <c:v>4898816</c:v>
                </c:pt>
                <c:pt idx="15">
                  <c:v>5414912</c:v>
                </c:pt>
                <c:pt idx="16">
                  <c:v>6221824</c:v>
                </c:pt>
                <c:pt idx="17">
                  <c:v>6365184</c:v>
                </c:pt>
                <c:pt idx="18" formatCode="0">
                  <c:v>6160384</c:v>
                </c:pt>
                <c:pt idx="19">
                  <c:v>8151040</c:v>
                </c:pt>
                <c:pt idx="20">
                  <c:v>9142272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</c:valAx>
      <c:valAx>
        <c:axId val="24742041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8885632"/>
        <c:crosses val="max"/>
        <c:crossBetween val="between"/>
      </c:valAx>
      <c:catAx>
        <c:axId val="2488856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42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8-48AC-A1B2-52150A280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92032"/>
        <c:axId val="24888524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General</c:formatCode>
                <c:ptCount val="21"/>
                <c:pt idx="0">
                  <c:v>93</c:v>
                </c:pt>
                <c:pt idx="1">
                  <c:v>147</c:v>
                </c:pt>
                <c:pt idx="2" formatCode="0.00">
                  <c:v>211</c:v>
                </c:pt>
                <c:pt idx="3">
                  <c:v>191</c:v>
                </c:pt>
                <c:pt idx="4">
                  <c:v>243</c:v>
                </c:pt>
                <c:pt idx="5">
                  <c:v>312</c:v>
                </c:pt>
                <c:pt idx="6" formatCode="0.00">
                  <c:v>396</c:v>
                </c:pt>
                <c:pt idx="7">
                  <c:v>524</c:v>
                </c:pt>
                <c:pt idx="8">
                  <c:v>510</c:v>
                </c:pt>
                <c:pt idx="9" formatCode="0.00">
                  <c:v>488</c:v>
                </c:pt>
                <c:pt idx="10">
                  <c:v>730</c:v>
                </c:pt>
                <c:pt idx="11" formatCode="0">
                  <c:v>974</c:v>
                </c:pt>
                <c:pt idx="12" formatCode="0.00">
                  <c:v>948</c:v>
                </c:pt>
                <c:pt idx="13" formatCode="0.00">
                  <c:v>1214</c:v>
                </c:pt>
                <c:pt idx="14" formatCode="0.00">
                  <c:v>1501</c:v>
                </c:pt>
                <c:pt idx="15">
                  <c:v>2032</c:v>
                </c:pt>
                <c:pt idx="16">
                  <c:v>2538</c:v>
                </c:pt>
                <c:pt idx="17">
                  <c:v>2538</c:v>
                </c:pt>
                <c:pt idx="18" formatCode="0.00">
                  <c:v>2489</c:v>
                </c:pt>
                <c:pt idx="19">
                  <c:v>3774</c:v>
                </c:pt>
                <c:pt idx="20">
                  <c:v>5012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21"/>
                <c:pt idx="0">
                  <c:v>2748416</c:v>
                </c:pt>
                <c:pt idx="1">
                  <c:v>2686976</c:v>
                </c:pt>
                <c:pt idx="2" formatCode="0">
                  <c:v>2727936</c:v>
                </c:pt>
                <c:pt idx="3">
                  <c:v>2686976</c:v>
                </c:pt>
                <c:pt idx="4">
                  <c:v>2985984</c:v>
                </c:pt>
                <c:pt idx="5">
                  <c:v>2994176</c:v>
                </c:pt>
                <c:pt idx="6" formatCode="0">
                  <c:v>2998272</c:v>
                </c:pt>
                <c:pt idx="7">
                  <c:v>3272704</c:v>
                </c:pt>
                <c:pt idx="8">
                  <c:v>3268608</c:v>
                </c:pt>
                <c:pt idx="9" formatCode="0">
                  <c:v>3293184</c:v>
                </c:pt>
                <c:pt idx="10">
                  <c:v>3543040</c:v>
                </c:pt>
                <c:pt idx="11" formatCode="0">
                  <c:v>3837952</c:v>
                </c:pt>
                <c:pt idx="12" formatCode="0">
                  <c:v>4100096</c:v>
                </c:pt>
                <c:pt idx="13" formatCode="0">
                  <c:v>4362240</c:v>
                </c:pt>
                <c:pt idx="14" formatCode="0">
                  <c:v>4898816</c:v>
                </c:pt>
                <c:pt idx="15">
                  <c:v>5414912</c:v>
                </c:pt>
                <c:pt idx="16">
                  <c:v>6221824</c:v>
                </c:pt>
                <c:pt idx="17">
                  <c:v>6365184</c:v>
                </c:pt>
                <c:pt idx="18" formatCode="0">
                  <c:v>6160384</c:v>
                </c:pt>
                <c:pt idx="19">
                  <c:v>8151040</c:v>
                </c:pt>
                <c:pt idx="20">
                  <c:v>9142272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</c:valAx>
      <c:valAx>
        <c:axId val="24888524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8892032"/>
        <c:crosses val="max"/>
        <c:crossBetween val="between"/>
      </c:valAx>
      <c:catAx>
        <c:axId val="2488920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85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21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2.028</c:v>
                </c:pt>
                <c:pt idx="12">
                  <c:v>1.0489999999999999</c:v>
                </c:pt>
                <c:pt idx="13">
                  <c:v>2.544</c:v>
                </c:pt>
                <c:pt idx="14">
                  <c:v>1.4930000000000001</c:v>
                </c:pt>
                <c:pt idx="15">
                  <c:v>1.96</c:v>
                </c:pt>
                <c:pt idx="16">
                  <c:v>2.4510000000000001</c:v>
                </c:pt>
                <c:pt idx="17">
                  <c:v>0.98399999999999999</c:v>
                </c:pt>
                <c:pt idx="18">
                  <c:v>4.9580000000000002</c:v>
                </c:pt>
                <c:pt idx="19">
                  <c:v>1.488</c:v>
                </c:pt>
                <c:pt idx="20">
                  <c:v>4.9450000000000003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5-4A9C-9DDA-BDF631E8A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463552"/>
        <c:axId val="24889126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General</c:formatCode>
                <c:ptCount val="21"/>
                <c:pt idx="0">
                  <c:v>103</c:v>
                </c:pt>
                <c:pt idx="1">
                  <c:v>149</c:v>
                </c:pt>
                <c:pt idx="2" formatCode="0.00">
                  <c:v>187</c:v>
                </c:pt>
                <c:pt idx="3">
                  <c:v>200</c:v>
                </c:pt>
                <c:pt idx="4">
                  <c:v>249</c:v>
                </c:pt>
                <c:pt idx="5">
                  <c:v>286</c:v>
                </c:pt>
                <c:pt idx="6" formatCode="0.00">
                  <c:v>399</c:v>
                </c:pt>
                <c:pt idx="7">
                  <c:v>475</c:v>
                </c:pt>
                <c:pt idx="8">
                  <c:v>482</c:v>
                </c:pt>
                <c:pt idx="9" formatCode="0.00">
                  <c:v>493</c:v>
                </c:pt>
                <c:pt idx="10">
                  <c:v>766</c:v>
                </c:pt>
                <c:pt idx="11" formatCode="0">
                  <c:v>1014</c:v>
                </c:pt>
                <c:pt idx="12" formatCode="0.00">
                  <c:v>1049</c:v>
                </c:pt>
                <c:pt idx="13" formatCode="0.00">
                  <c:v>1272</c:v>
                </c:pt>
                <c:pt idx="14" formatCode="0.00">
                  <c:v>1493</c:v>
                </c:pt>
                <c:pt idx="15">
                  <c:v>1960</c:v>
                </c:pt>
                <c:pt idx="16">
                  <c:v>2451</c:v>
                </c:pt>
                <c:pt idx="17">
                  <c:v>2460</c:v>
                </c:pt>
                <c:pt idx="18" formatCode="0.00">
                  <c:v>2479</c:v>
                </c:pt>
                <c:pt idx="19">
                  <c:v>3720</c:v>
                </c:pt>
                <c:pt idx="20">
                  <c:v>4945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21"/>
                <c:pt idx="0">
                  <c:v>2748416</c:v>
                </c:pt>
                <c:pt idx="1">
                  <c:v>2686976</c:v>
                </c:pt>
                <c:pt idx="2" formatCode="0">
                  <c:v>2727936</c:v>
                </c:pt>
                <c:pt idx="3">
                  <c:v>2686976</c:v>
                </c:pt>
                <c:pt idx="4">
                  <c:v>2985984</c:v>
                </c:pt>
                <c:pt idx="5">
                  <c:v>2994176</c:v>
                </c:pt>
                <c:pt idx="6" formatCode="0">
                  <c:v>2998272</c:v>
                </c:pt>
                <c:pt idx="7">
                  <c:v>3272704</c:v>
                </c:pt>
                <c:pt idx="8">
                  <c:v>3268608</c:v>
                </c:pt>
                <c:pt idx="9" formatCode="0">
                  <c:v>3293184</c:v>
                </c:pt>
                <c:pt idx="10">
                  <c:v>3543040</c:v>
                </c:pt>
                <c:pt idx="11" formatCode="0">
                  <c:v>3837952</c:v>
                </c:pt>
                <c:pt idx="12" formatCode="0">
                  <c:v>4100096</c:v>
                </c:pt>
                <c:pt idx="13" formatCode="0">
                  <c:v>4362240</c:v>
                </c:pt>
                <c:pt idx="14" formatCode="0">
                  <c:v>4898816</c:v>
                </c:pt>
                <c:pt idx="15">
                  <c:v>5414912</c:v>
                </c:pt>
                <c:pt idx="16">
                  <c:v>6221824</c:v>
                </c:pt>
                <c:pt idx="17">
                  <c:v>6365184</c:v>
                </c:pt>
                <c:pt idx="18" formatCode="0">
                  <c:v>6160384</c:v>
                </c:pt>
                <c:pt idx="19">
                  <c:v>8151040</c:v>
                </c:pt>
                <c:pt idx="20">
                  <c:v>9142272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</c:valAx>
      <c:valAx>
        <c:axId val="24889126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9463552"/>
        <c:crosses val="max"/>
        <c:crossBetween val="between"/>
      </c:valAx>
      <c:catAx>
        <c:axId val="2494635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9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cat>
          <c:val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4-4EDD-90BC-F5F0E2FE1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65792"/>
        <c:axId val="23219340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200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500</c:v>
                </c:pt>
                <c:pt idx="8">
                  <c:v>200</c:v>
                </c:pt>
                <c:pt idx="9">
                  <c:v>100</c:v>
                </c:pt>
                <c:pt idx="10">
                  <c:v>500</c:v>
                </c:pt>
                <c:pt idx="11">
                  <c:v>200</c:v>
                </c:pt>
                <c:pt idx="12">
                  <c:v>500</c:v>
                </c:pt>
                <c:pt idx="13">
                  <c:v>1000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2500</c:v>
                </c:pt>
                <c:pt idx="19">
                  <c:v>500</c:v>
                </c:pt>
                <c:pt idx="20">
                  <c:v>2500</c:v>
                </c:pt>
                <c:pt idx="21">
                  <c:v>1000</c:v>
                </c:pt>
                <c:pt idx="22">
                  <c:v>2500</c:v>
                </c:pt>
                <c:pt idx="23">
                  <c:v>5000</c:v>
                </c:pt>
                <c:pt idx="24">
                  <c:v>2500</c:v>
                </c:pt>
                <c:pt idx="25">
                  <c:v>5000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26"/>
                <c:pt idx="0">
                  <c:v>4.2658476973883808E-2</c:v>
                </c:pt>
                <c:pt idx="1">
                  <c:v>5.2942360984161496E-2</c:v>
                </c:pt>
                <c:pt idx="2">
                  <c:v>6.3305624003987759E-2</c:v>
                </c:pt>
                <c:pt idx="3">
                  <c:v>7.35593709978275E-2</c:v>
                </c:pt>
                <c:pt idx="4" formatCode="General">
                  <c:v>9.4451852957718074E-2</c:v>
                </c:pt>
                <c:pt idx="5" formatCode="General">
                  <c:v>0.11476479703560472</c:v>
                </c:pt>
                <c:pt idx="6">
                  <c:v>0.19708550203358757</c:v>
                </c:pt>
                <c:pt idx="7" formatCode="General">
                  <c:v>0.19736934499815104</c:v>
                </c:pt>
                <c:pt idx="8">
                  <c:v>0.30039339303039014</c:v>
                </c:pt>
                <c:pt idx="9">
                  <c:v>0.24916376400506124</c:v>
                </c:pt>
                <c:pt idx="10" formatCode="General">
                  <c:v>0.44452173903118819</c:v>
                </c:pt>
                <c:pt idx="11">
                  <c:v>1.125840587017592</c:v>
                </c:pt>
                <c:pt idx="12">
                  <c:v>1.0942349539836869</c:v>
                </c:pt>
                <c:pt idx="13" formatCode="General">
                  <c:v>0.77540042594773695</c:v>
                </c:pt>
                <c:pt idx="14">
                  <c:v>1.4133816200192086</c:v>
                </c:pt>
                <c:pt idx="15">
                  <c:v>2.0713938319822773</c:v>
                </c:pt>
                <c:pt idx="16">
                  <c:v>4.411272328987252</c:v>
                </c:pt>
                <c:pt idx="17" formatCode="General">
                  <c:v>9.0457488279789686</c:v>
                </c:pt>
                <c:pt idx="18">
                  <c:v>7.4946766019565985</c:v>
                </c:pt>
                <c:pt idx="19" formatCode="General">
                  <c:v>9.3184149339795113</c:v>
                </c:pt>
                <c:pt idx="20">
                  <c:v>20.262063163041603</c:v>
                </c:pt>
                <c:pt idx="21">
                  <c:v>53.389985967951361</c:v>
                </c:pt>
                <c:pt idx="22">
                  <c:v>44.650280915026087</c:v>
                </c:pt>
                <c:pt idx="23" formatCode="General">
                  <c:v>43.959103945002425</c:v>
                </c:pt>
                <c:pt idx="24">
                  <c:v>80.443289969000034</c:v>
                </c:pt>
                <c:pt idx="25">
                  <c:v>131.88990875094896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23219340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33265792"/>
        <c:crosses val="max"/>
        <c:crossBetween val="between"/>
      </c:valAx>
      <c:catAx>
        <c:axId val="2332657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32193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cat>
          <c:val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B-4AF4-B6F1-4D60D06E2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21952"/>
        <c:axId val="25060185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200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500</c:v>
                </c:pt>
                <c:pt idx="8">
                  <c:v>200</c:v>
                </c:pt>
                <c:pt idx="9">
                  <c:v>100</c:v>
                </c:pt>
                <c:pt idx="10">
                  <c:v>500</c:v>
                </c:pt>
                <c:pt idx="11">
                  <c:v>200</c:v>
                </c:pt>
                <c:pt idx="12">
                  <c:v>500</c:v>
                </c:pt>
                <c:pt idx="13">
                  <c:v>1000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2500</c:v>
                </c:pt>
                <c:pt idx="19">
                  <c:v>500</c:v>
                </c:pt>
                <c:pt idx="20">
                  <c:v>2500</c:v>
                </c:pt>
                <c:pt idx="21">
                  <c:v>1000</c:v>
                </c:pt>
                <c:pt idx="22">
                  <c:v>2500</c:v>
                </c:pt>
                <c:pt idx="23">
                  <c:v>5000</c:v>
                </c:pt>
                <c:pt idx="24">
                  <c:v>2500</c:v>
                </c:pt>
                <c:pt idx="25">
                  <c:v>5000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26"/>
                <c:pt idx="0">
                  <c:v>60862464</c:v>
                </c:pt>
                <c:pt idx="1">
                  <c:v>60911616</c:v>
                </c:pt>
                <c:pt idx="2">
                  <c:v>61390848</c:v>
                </c:pt>
                <c:pt idx="3">
                  <c:v>61202432</c:v>
                </c:pt>
                <c:pt idx="4" formatCode="General">
                  <c:v>61059072</c:v>
                </c:pt>
                <c:pt idx="5" formatCode="General">
                  <c:v>61358080</c:v>
                </c:pt>
                <c:pt idx="6">
                  <c:v>61394944</c:v>
                </c:pt>
                <c:pt idx="7" formatCode="General">
                  <c:v>61935616</c:v>
                </c:pt>
                <c:pt idx="8">
                  <c:v>61743104</c:v>
                </c:pt>
                <c:pt idx="9">
                  <c:v>61935616</c:v>
                </c:pt>
                <c:pt idx="10" formatCode="General">
                  <c:v>62435328</c:v>
                </c:pt>
                <c:pt idx="11">
                  <c:v>62898176</c:v>
                </c:pt>
                <c:pt idx="12">
                  <c:v>62881792</c:v>
                </c:pt>
                <c:pt idx="13" formatCode="General">
                  <c:v>62746624</c:v>
                </c:pt>
                <c:pt idx="14">
                  <c:v>63369216</c:v>
                </c:pt>
                <c:pt idx="15">
                  <c:v>63807488</c:v>
                </c:pt>
                <c:pt idx="16">
                  <c:v>64741376</c:v>
                </c:pt>
                <c:pt idx="17" formatCode="General">
                  <c:v>65851392</c:v>
                </c:pt>
                <c:pt idx="18">
                  <c:v>65982464</c:v>
                </c:pt>
                <c:pt idx="19" formatCode="General">
                  <c:v>65863680</c:v>
                </c:pt>
                <c:pt idx="20">
                  <c:v>68321280</c:v>
                </c:pt>
                <c:pt idx="21">
                  <c:v>70660096</c:v>
                </c:pt>
                <c:pt idx="22">
                  <c:v>70823936</c:v>
                </c:pt>
                <c:pt idx="23" formatCode="General">
                  <c:v>71069696</c:v>
                </c:pt>
                <c:pt idx="24">
                  <c:v>72937472</c:v>
                </c:pt>
                <c:pt idx="25">
                  <c:v>75767808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</c:valAx>
      <c:valAx>
        <c:axId val="25060185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50621952"/>
        <c:crosses val="max"/>
        <c:crossBetween val="between"/>
      </c:valAx>
      <c:catAx>
        <c:axId val="2506219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0601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cat>
          <c:val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3-4885-93AD-72643B67B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17920"/>
        <c:axId val="266033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26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800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1500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2500</c:v>
                </c:pt>
                <c:pt idx="15">
                  <c:v>3000</c:v>
                </c:pt>
                <c:pt idx="16">
                  <c:v>4000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7500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12500</c:v>
                </c:pt>
                <c:pt idx="25">
                  <c:v>15000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26"/>
                <c:pt idx="0">
                  <c:v>4.2658476973883808E-2</c:v>
                </c:pt>
                <c:pt idx="1">
                  <c:v>5.2942360984161496E-2</c:v>
                </c:pt>
                <c:pt idx="2">
                  <c:v>6.3305624003987759E-2</c:v>
                </c:pt>
                <c:pt idx="3">
                  <c:v>7.35593709978275E-2</c:v>
                </c:pt>
                <c:pt idx="4" formatCode="General">
                  <c:v>9.4451852957718074E-2</c:v>
                </c:pt>
                <c:pt idx="5" formatCode="General">
                  <c:v>0.11476479703560472</c:v>
                </c:pt>
                <c:pt idx="6">
                  <c:v>0.19708550203358757</c:v>
                </c:pt>
                <c:pt idx="7" formatCode="General">
                  <c:v>0.19736934499815104</c:v>
                </c:pt>
                <c:pt idx="8">
                  <c:v>0.30039339303039014</c:v>
                </c:pt>
                <c:pt idx="9">
                  <c:v>0.24916376400506124</c:v>
                </c:pt>
                <c:pt idx="10" formatCode="General">
                  <c:v>0.44452173903118819</c:v>
                </c:pt>
                <c:pt idx="11">
                  <c:v>1.125840587017592</c:v>
                </c:pt>
                <c:pt idx="12">
                  <c:v>1.0942349539836869</c:v>
                </c:pt>
                <c:pt idx="13" formatCode="General">
                  <c:v>0.77540042594773695</c:v>
                </c:pt>
                <c:pt idx="14">
                  <c:v>1.4133816200192086</c:v>
                </c:pt>
                <c:pt idx="15">
                  <c:v>2.0713938319822773</c:v>
                </c:pt>
                <c:pt idx="16">
                  <c:v>4.411272328987252</c:v>
                </c:pt>
                <c:pt idx="17" formatCode="General">
                  <c:v>9.0457488279789686</c:v>
                </c:pt>
                <c:pt idx="18">
                  <c:v>7.4946766019565985</c:v>
                </c:pt>
                <c:pt idx="19" formatCode="General">
                  <c:v>9.3184149339795113</c:v>
                </c:pt>
                <c:pt idx="20">
                  <c:v>20.262063163041603</c:v>
                </c:pt>
                <c:pt idx="21">
                  <c:v>53.389985967951361</c:v>
                </c:pt>
                <c:pt idx="22">
                  <c:v>44.650280915026087</c:v>
                </c:pt>
                <c:pt idx="23" formatCode="General">
                  <c:v>43.959103945002425</c:v>
                </c:pt>
                <c:pt idx="24">
                  <c:v>80.443289969000034</c:v>
                </c:pt>
                <c:pt idx="25">
                  <c:v>131.88990875094896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26603302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38817920"/>
        <c:crosses val="max"/>
        <c:crossBetween val="between"/>
      </c:valAx>
      <c:catAx>
        <c:axId val="1388179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6603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cat>
          <c:val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E-456A-B95E-46B5E6F19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65280"/>
        <c:axId val="13886297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26"/>
                <c:pt idx="0">
                  <c:v>127</c:v>
                </c:pt>
                <c:pt idx="1">
                  <c:v>188</c:v>
                </c:pt>
                <c:pt idx="2">
                  <c:v>263</c:v>
                </c:pt>
                <c:pt idx="3">
                  <c:v>247</c:v>
                </c:pt>
                <c:pt idx="4">
                  <c:v>316</c:v>
                </c:pt>
                <c:pt idx="5">
                  <c:v>376</c:v>
                </c:pt>
                <c:pt idx="6">
                  <c:v>518</c:v>
                </c:pt>
                <c:pt idx="7">
                  <c:v>621</c:v>
                </c:pt>
                <c:pt idx="8">
                  <c:v>642</c:v>
                </c:pt>
                <c:pt idx="9">
                  <c:v>619</c:v>
                </c:pt>
                <c:pt idx="10">
                  <c:v>947</c:v>
                </c:pt>
                <c:pt idx="11">
                  <c:v>1253</c:v>
                </c:pt>
                <c:pt idx="12">
                  <c:v>1257</c:v>
                </c:pt>
                <c:pt idx="13">
                  <c:v>1240</c:v>
                </c:pt>
                <c:pt idx="14">
                  <c:v>1542</c:v>
                </c:pt>
                <c:pt idx="15">
                  <c:v>1853</c:v>
                </c:pt>
                <c:pt idx="16">
                  <c:v>2507</c:v>
                </c:pt>
                <c:pt idx="17">
                  <c:v>3066</c:v>
                </c:pt>
                <c:pt idx="18">
                  <c:v>3123</c:v>
                </c:pt>
                <c:pt idx="19">
                  <c:v>3130</c:v>
                </c:pt>
                <c:pt idx="20">
                  <c:v>4653</c:v>
                </c:pt>
                <c:pt idx="21">
                  <c:v>6221</c:v>
                </c:pt>
                <c:pt idx="22">
                  <c:v>6270</c:v>
                </c:pt>
                <c:pt idx="23">
                  <c:v>6225</c:v>
                </c:pt>
                <c:pt idx="24">
                  <c:v>7810</c:v>
                </c:pt>
                <c:pt idx="25">
                  <c:v>9366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26"/>
                <c:pt idx="0">
                  <c:v>4.2658476973883808E-2</c:v>
                </c:pt>
                <c:pt idx="1">
                  <c:v>5.2942360984161496E-2</c:v>
                </c:pt>
                <c:pt idx="2">
                  <c:v>6.3305624003987759E-2</c:v>
                </c:pt>
                <c:pt idx="3">
                  <c:v>7.35593709978275E-2</c:v>
                </c:pt>
                <c:pt idx="4" formatCode="General">
                  <c:v>9.4451852957718074E-2</c:v>
                </c:pt>
                <c:pt idx="5" formatCode="General">
                  <c:v>0.11476479703560472</c:v>
                </c:pt>
                <c:pt idx="6">
                  <c:v>0.19708550203358757</c:v>
                </c:pt>
                <c:pt idx="7" formatCode="General">
                  <c:v>0.19736934499815104</c:v>
                </c:pt>
                <c:pt idx="8">
                  <c:v>0.30039339303039014</c:v>
                </c:pt>
                <c:pt idx="9">
                  <c:v>0.24916376400506124</c:v>
                </c:pt>
                <c:pt idx="10" formatCode="General">
                  <c:v>0.44452173903118819</c:v>
                </c:pt>
                <c:pt idx="11">
                  <c:v>1.125840587017592</c:v>
                </c:pt>
                <c:pt idx="12">
                  <c:v>1.0942349539836869</c:v>
                </c:pt>
                <c:pt idx="13" formatCode="General">
                  <c:v>0.77540042594773695</c:v>
                </c:pt>
                <c:pt idx="14">
                  <c:v>1.4133816200192086</c:v>
                </c:pt>
                <c:pt idx="15">
                  <c:v>2.0713938319822773</c:v>
                </c:pt>
                <c:pt idx="16">
                  <c:v>4.411272328987252</c:v>
                </c:pt>
                <c:pt idx="17" formatCode="General">
                  <c:v>9.0457488279789686</c:v>
                </c:pt>
                <c:pt idx="18">
                  <c:v>7.4946766019565985</c:v>
                </c:pt>
                <c:pt idx="19" formatCode="General">
                  <c:v>9.3184149339795113</c:v>
                </c:pt>
                <c:pt idx="20">
                  <c:v>20.262063163041603</c:v>
                </c:pt>
                <c:pt idx="21">
                  <c:v>53.389985967951361</c:v>
                </c:pt>
                <c:pt idx="22">
                  <c:v>44.650280915026087</c:v>
                </c:pt>
                <c:pt idx="23" formatCode="General">
                  <c:v>43.959103945002425</c:v>
                </c:pt>
                <c:pt idx="24">
                  <c:v>80.443289969000034</c:v>
                </c:pt>
                <c:pt idx="25">
                  <c:v>131.88990875094896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13886297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38865280"/>
        <c:crosses val="max"/>
        <c:crossBetween val="between"/>
      </c:valAx>
      <c:catAx>
        <c:axId val="1388652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3886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cat>
          <c:val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3-4FE1-94CA-73EC22055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52352"/>
        <c:axId val="14398566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26"/>
                <c:pt idx="0">
                  <c:v>93</c:v>
                </c:pt>
                <c:pt idx="1">
                  <c:v>147</c:v>
                </c:pt>
                <c:pt idx="2">
                  <c:v>211</c:v>
                </c:pt>
                <c:pt idx="3">
                  <c:v>191</c:v>
                </c:pt>
                <c:pt idx="4">
                  <c:v>243</c:v>
                </c:pt>
                <c:pt idx="5">
                  <c:v>312</c:v>
                </c:pt>
                <c:pt idx="6">
                  <c:v>396</c:v>
                </c:pt>
                <c:pt idx="7">
                  <c:v>524</c:v>
                </c:pt>
                <c:pt idx="8">
                  <c:v>510</c:v>
                </c:pt>
                <c:pt idx="9">
                  <c:v>488</c:v>
                </c:pt>
                <c:pt idx="10">
                  <c:v>730</c:v>
                </c:pt>
                <c:pt idx="11">
                  <c:v>995</c:v>
                </c:pt>
                <c:pt idx="12">
                  <c:v>974</c:v>
                </c:pt>
                <c:pt idx="13">
                  <c:v>948</c:v>
                </c:pt>
                <c:pt idx="14">
                  <c:v>1214</c:v>
                </c:pt>
                <c:pt idx="15">
                  <c:v>1501</c:v>
                </c:pt>
                <c:pt idx="16">
                  <c:v>2032</c:v>
                </c:pt>
                <c:pt idx="17">
                  <c:v>2538</c:v>
                </c:pt>
                <c:pt idx="18">
                  <c:v>2538</c:v>
                </c:pt>
                <c:pt idx="19">
                  <c:v>2489</c:v>
                </c:pt>
                <c:pt idx="20">
                  <c:v>3774</c:v>
                </c:pt>
                <c:pt idx="21">
                  <c:v>5012</c:v>
                </c:pt>
                <c:pt idx="22">
                  <c:v>4946</c:v>
                </c:pt>
                <c:pt idx="23">
                  <c:v>4934</c:v>
                </c:pt>
                <c:pt idx="24">
                  <c:v>6136</c:v>
                </c:pt>
                <c:pt idx="25">
                  <c:v>7495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26"/>
                <c:pt idx="0">
                  <c:v>4.2658476973883808E-2</c:v>
                </c:pt>
                <c:pt idx="1">
                  <c:v>5.2942360984161496E-2</c:v>
                </c:pt>
                <c:pt idx="2">
                  <c:v>6.3305624003987759E-2</c:v>
                </c:pt>
                <c:pt idx="3">
                  <c:v>7.35593709978275E-2</c:v>
                </c:pt>
                <c:pt idx="4" formatCode="General">
                  <c:v>9.4451852957718074E-2</c:v>
                </c:pt>
                <c:pt idx="5" formatCode="General">
                  <c:v>0.11476479703560472</c:v>
                </c:pt>
                <c:pt idx="6">
                  <c:v>0.19708550203358757</c:v>
                </c:pt>
                <c:pt idx="7" formatCode="General">
                  <c:v>0.19736934499815104</c:v>
                </c:pt>
                <c:pt idx="8">
                  <c:v>0.30039339303039014</c:v>
                </c:pt>
                <c:pt idx="9">
                  <c:v>0.24916376400506124</c:v>
                </c:pt>
                <c:pt idx="10" formatCode="General">
                  <c:v>0.44452173903118819</c:v>
                </c:pt>
                <c:pt idx="11">
                  <c:v>1.125840587017592</c:v>
                </c:pt>
                <c:pt idx="12">
                  <c:v>1.0942349539836869</c:v>
                </c:pt>
                <c:pt idx="13" formatCode="General">
                  <c:v>0.77540042594773695</c:v>
                </c:pt>
                <c:pt idx="14">
                  <c:v>1.4133816200192086</c:v>
                </c:pt>
                <c:pt idx="15">
                  <c:v>2.0713938319822773</c:v>
                </c:pt>
                <c:pt idx="16">
                  <c:v>4.411272328987252</c:v>
                </c:pt>
                <c:pt idx="17" formatCode="General">
                  <c:v>9.0457488279789686</c:v>
                </c:pt>
                <c:pt idx="18">
                  <c:v>7.4946766019565985</c:v>
                </c:pt>
                <c:pt idx="19" formatCode="General">
                  <c:v>9.3184149339795113</c:v>
                </c:pt>
                <c:pt idx="20">
                  <c:v>20.262063163041603</c:v>
                </c:pt>
                <c:pt idx="21">
                  <c:v>53.389985967951361</c:v>
                </c:pt>
                <c:pt idx="22">
                  <c:v>44.650280915026087</c:v>
                </c:pt>
                <c:pt idx="23" formatCode="General">
                  <c:v>43.959103945002425</c:v>
                </c:pt>
                <c:pt idx="24">
                  <c:v>80.443289969000034</c:v>
                </c:pt>
                <c:pt idx="25">
                  <c:v>131.88990875094896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14398566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33252352"/>
        <c:crosses val="max"/>
        <c:crossBetween val="between"/>
      </c:valAx>
      <c:catAx>
        <c:axId val="2332523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3985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cat>
          <c:val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8-414C-ADF2-5F23967AF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75072"/>
        <c:axId val="238478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26"/>
                <c:pt idx="0">
                  <c:v>103</c:v>
                </c:pt>
                <c:pt idx="1">
                  <c:v>149</c:v>
                </c:pt>
                <c:pt idx="2">
                  <c:v>187</c:v>
                </c:pt>
                <c:pt idx="3">
                  <c:v>200</c:v>
                </c:pt>
                <c:pt idx="4">
                  <c:v>249</c:v>
                </c:pt>
                <c:pt idx="5">
                  <c:v>286</c:v>
                </c:pt>
                <c:pt idx="6">
                  <c:v>399</c:v>
                </c:pt>
                <c:pt idx="7">
                  <c:v>475</c:v>
                </c:pt>
                <c:pt idx="8">
                  <c:v>482</c:v>
                </c:pt>
                <c:pt idx="9">
                  <c:v>493</c:v>
                </c:pt>
                <c:pt idx="10">
                  <c:v>766</c:v>
                </c:pt>
                <c:pt idx="11">
                  <c:v>973</c:v>
                </c:pt>
                <c:pt idx="12">
                  <c:v>1014</c:v>
                </c:pt>
                <c:pt idx="13">
                  <c:v>1049</c:v>
                </c:pt>
                <c:pt idx="14">
                  <c:v>1272</c:v>
                </c:pt>
                <c:pt idx="15">
                  <c:v>1493</c:v>
                </c:pt>
                <c:pt idx="16">
                  <c:v>1960</c:v>
                </c:pt>
                <c:pt idx="17">
                  <c:v>2451</c:v>
                </c:pt>
                <c:pt idx="18">
                  <c:v>2460</c:v>
                </c:pt>
                <c:pt idx="19">
                  <c:v>2479</c:v>
                </c:pt>
                <c:pt idx="20">
                  <c:v>3720</c:v>
                </c:pt>
                <c:pt idx="21">
                  <c:v>4945</c:v>
                </c:pt>
                <c:pt idx="22">
                  <c:v>5046</c:v>
                </c:pt>
                <c:pt idx="23">
                  <c:v>5064</c:v>
                </c:pt>
                <c:pt idx="24">
                  <c:v>6338</c:v>
                </c:pt>
                <c:pt idx="25">
                  <c:v>7501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26"/>
                <c:pt idx="0">
                  <c:v>4.2658476973883808E-2</c:v>
                </c:pt>
                <c:pt idx="1">
                  <c:v>5.2942360984161496E-2</c:v>
                </c:pt>
                <c:pt idx="2">
                  <c:v>6.3305624003987759E-2</c:v>
                </c:pt>
                <c:pt idx="3">
                  <c:v>7.35593709978275E-2</c:v>
                </c:pt>
                <c:pt idx="4" formatCode="General">
                  <c:v>9.4451852957718074E-2</c:v>
                </c:pt>
                <c:pt idx="5" formatCode="General">
                  <c:v>0.11476479703560472</c:v>
                </c:pt>
                <c:pt idx="6">
                  <c:v>0.19708550203358757</c:v>
                </c:pt>
                <c:pt idx="7" formatCode="General">
                  <c:v>0.19736934499815104</c:v>
                </c:pt>
                <c:pt idx="8">
                  <c:v>0.30039339303039014</c:v>
                </c:pt>
                <c:pt idx="9">
                  <c:v>0.24916376400506124</c:v>
                </c:pt>
                <c:pt idx="10" formatCode="General">
                  <c:v>0.44452173903118819</c:v>
                </c:pt>
                <c:pt idx="11">
                  <c:v>1.125840587017592</c:v>
                </c:pt>
                <c:pt idx="12">
                  <c:v>1.0942349539836869</c:v>
                </c:pt>
                <c:pt idx="13" formatCode="General">
                  <c:v>0.77540042594773695</c:v>
                </c:pt>
                <c:pt idx="14">
                  <c:v>1.4133816200192086</c:v>
                </c:pt>
                <c:pt idx="15">
                  <c:v>2.0713938319822773</c:v>
                </c:pt>
                <c:pt idx="16">
                  <c:v>4.411272328987252</c:v>
                </c:pt>
                <c:pt idx="17" formatCode="General">
                  <c:v>9.0457488279789686</c:v>
                </c:pt>
                <c:pt idx="18">
                  <c:v>7.4946766019565985</c:v>
                </c:pt>
                <c:pt idx="19" formatCode="General">
                  <c:v>9.3184149339795113</c:v>
                </c:pt>
                <c:pt idx="20">
                  <c:v>20.262063163041603</c:v>
                </c:pt>
                <c:pt idx="21">
                  <c:v>53.389985967951361</c:v>
                </c:pt>
                <c:pt idx="22">
                  <c:v>44.650280915026087</c:v>
                </c:pt>
                <c:pt idx="23" formatCode="General">
                  <c:v>43.959103945002425</c:v>
                </c:pt>
                <c:pt idx="24">
                  <c:v>80.443289969000034</c:v>
                </c:pt>
                <c:pt idx="25">
                  <c:v>131.88990875094896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23847884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44675072"/>
        <c:crosses val="max"/>
        <c:crossBetween val="between"/>
      </c:valAx>
      <c:catAx>
        <c:axId val="4467507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38478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cat>
          <c:val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7-4D19-9D77-7EF960EF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04608"/>
        <c:axId val="13320230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26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800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1500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2500</c:v>
                </c:pt>
                <c:pt idx="15">
                  <c:v>3000</c:v>
                </c:pt>
                <c:pt idx="16">
                  <c:v>4000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7500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12500</c:v>
                </c:pt>
                <c:pt idx="25">
                  <c:v>15000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26"/>
                <c:pt idx="0">
                  <c:v>60862464</c:v>
                </c:pt>
                <c:pt idx="1">
                  <c:v>60911616</c:v>
                </c:pt>
                <c:pt idx="2">
                  <c:v>61390848</c:v>
                </c:pt>
                <c:pt idx="3">
                  <c:v>61202432</c:v>
                </c:pt>
                <c:pt idx="4" formatCode="General">
                  <c:v>61059072</c:v>
                </c:pt>
                <c:pt idx="5" formatCode="General">
                  <c:v>61358080</c:v>
                </c:pt>
                <c:pt idx="6">
                  <c:v>61394944</c:v>
                </c:pt>
                <c:pt idx="7" formatCode="General">
                  <c:v>61935616</c:v>
                </c:pt>
                <c:pt idx="8">
                  <c:v>61743104</c:v>
                </c:pt>
                <c:pt idx="9">
                  <c:v>61935616</c:v>
                </c:pt>
                <c:pt idx="10" formatCode="General">
                  <c:v>62435328</c:v>
                </c:pt>
                <c:pt idx="11">
                  <c:v>62898176</c:v>
                </c:pt>
                <c:pt idx="12">
                  <c:v>62881792</c:v>
                </c:pt>
                <c:pt idx="13" formatCode="General">
                  <c:v>62746624</c:v>
                </c:pt>
                <c:pt idx="14">
                  <c:v>63369216</c:v>
                </c:pt>
                <c:pt idx="15">
                  <c:v>63807488</c:v>
                </c:pt>
                <c:pt idx="16">
                  <c:v>64741376</c:v>
                </c:pt>
                <c:pt idx="17" formatCode="General">
                  <c:v>65851392</c:v>
                </c:pt>
                <c:pt idx="18">
                  <c:v>65982464</c:v>
                </c:pt>
                <c:pt idx="19" formatCode="General">
                  <c:v>65863680</c:v>
                </c:pt>
                <c:pt idx="20">
                  <c:v>68321280</c:v>
                </c:pt>
                <c:pt idx="21">
                  <c:v>70660096</c:v>
                </c:pt>
                <c:pt idx="22">
                  <c:v>70823936</c:v>
                </c:pt>
                <c:pt idx="23" formatCode="General">
                  <c:v>71069696</c:v>
                </c:pt>
                <c:pt idx="24">
                  <c:v>72937472</c:v>
                </c:pt>
                <c:pt idx="25">
                  <c:v>75767808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</c:valAx>
      <c:valAx>
        <c:axId val="13320230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33204608"/>
        <c:crosses val="max"/>
        <c:crossBetween val="between"/>
      </c:valAx>
      <c:catAx>
        <c:axId val="13320460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33202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cat>
          <c:val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A-4806-8967-4145A6EF1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727168"/>
        <c:axId val="2447248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26"/>
                <c:pt idx="0">
                  <c:v>127</c:v>
                </c:pt>
                <c:pt idx="1">
                  <c:v>188</c:v>
                </c:pt>
                <c:pt idx="2">
                  <c:v>263</c:v>
                </c:pt>
                <c:pt idx="3">
                  <c:v>247</c:v>
                </c:pt>
                <c:pt idx="4">
                  <c:v>316</c:v>
                </c:pt>
                <c:pt idx="5">
                  <c:v>376</c:v>
                </c:pt>
                <c:pt idx="6">
                  <c:v>518</c:v>
                </c:pt>
                <c:pt idx="7">
                  <c:v>621</c:v>
                </c:pt>
                <c:pt idx="8">
                  <c:v>642</c:v>
                </c:pt>
                <c:pt idx="9">
                  <c:v>619</c:v>
                </c:pt>
                <c:pt idx="10">
                  <c:v>947</c:v>
                </c:pt>
                <c:pt idx="11">
                  <c:v>1253</c:v>
                </c:pt>
                <c:pt idx="12">
                  <c:v>1257</c:v>
                </c:pt>
                <c:pt idx="13">
                  <c:v>1240</c:v>
                </c:pt>
                <c:pt idx="14">
                  <c:v>1542</c:v>
                </c:pt>
                <c:pt idx="15">
                  <c:v>1853</c:v>
                </c:pt>
                <c:pt idx="16">
                  <c:v>2507</c:v>
                </c:pt>
                <c:pt idx="17">
                  <c:v>3066</c:v>
                </c:pt>
                <c:pt idx="18">
                  <c:v>3123</c:v>
                </c:pt>
                <c:pt idx="19">
                  <c:v>3130</c:v>
                </c:pt>
                <c:pt idx="20">
                  <c:v>4653</c:v>
                </c:pt>
                <c:pt idx="21">
                  <c:v>6221</c:v>
                </c:pt>
                <c:pt idx="22">
                  <c:v>6270</c:v>
                </c:pt>
                <c:pt idx="23">
                  <c:v>6225</c:v>
                </c:pt>
                <c:pt idx="24">
                  <c:v>7810</c:v>
                </c:pt>
                <c:pt idx="25">
                  <c:v>9366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26"/>
                <c:pt idx="0">
                  <c:v>60862464</c:v>
                </c:pt>
                <c:pt idx="1">
                  <c:v>60911616</c:v>
                </c:pt>
                <c:pt idx="2">
                  <c:v>61390848</c:v>
                </c:pt>
                <c:pt idx="3">
                  <c:v>61202432</c:v>
                </c:pt>
                <c:pt idx="4" formatCode="General">
                  <c:v>61059072</c:v>
                </c:pt>
                <c:pt idx="5" formatCode="General">
                  <c:v>61358080</c:v>
                </c:pt>
                <c:pt idx="6">
                  <c:v>61394944</c:v>
                </c:pt>
                <c:pt idx="7" formatCode="General">
                  <c:v>61935616</c:v>
                </c:pt>
                <c:pt idx="8">
                  <c:v>61743104</c:v>
                </c:pt>
                <c:pt idx="9">
                  <c:v>61935616</c:v>
                </c:pt>
                <c:pt idx="10" formatCode="General">
                  <c:v>62435328</c:v>
                </c:pt>
                <c:pt idx="11">
                  <c:v>62898176</c:v>
                </c:pt>
                <c:pt idx="12">
                  <c:v>62881792</c:v>
                </c:pt>
                <c:pt idx="13" formatCode="General">
                  <c:v>62746624</c:v>
                </c:pt>
                <c:pt idx="14">
                  <c:v>63369216</c:v>
                </c:pt>
                <c:pt idx="15">
                  <c:v>63807488</c:v>
                </c:pt>
                <c:pt idx="16">
                  <c:v>64741376</c:v>
                </c:pt>
                <c:pt idx="17" formatCode="General">
                  <c:v>65851392</c:v>
                </c:pt>
                <c:pt idx="18">
                  <c:v>65982464</c:v>
                </c:pt>
                <c:pt idx="19" formatCode="General">
                  <c:v>65863680</c:v>
                </c:pt>
                <c:pt idx="20">
                  <c:v>68321280</c:v>
                </c:pt>
                <c:pt idx="21">
                  <c:v>70660096</c:v>
                </c:pt>
                <c:pt idx="22">
                  <c:v>70823936</c:v>
                </c:pt>
                <c:pt idx="23" formatCode="General">
                  <c:v>71069696</c:v>
                </c:pt>
                <c:pt idx="24">
                  <c:v>72937472</c:v>
                </c:pt>
                <c:pt idx="25">
                  <c:v>75767808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</c:valAx>
      <c:valAx>
        <c:axId val="24472486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4727168"/>
        <c:crosses val="max"/>
        <c:crossBetween val="between"/>
      </c:valAx>
      <c:catAx>
        <c:axId val="24472716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472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cat>
          <c:val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1-4F9D-8994-31EA36064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44416"/>
        <c:axId val="2447312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26"/>
                <c:pt idx="0">
                  <c:v>93</c:v>
                </c:pt>
                <c:pt idx="1">
                  <c:v>147</c:v>
                </c:pt>
                <c:pt idx="2">
                  <c:v>211</c:v>
                </c:pt>
                <c:pt idx="3">
                  <c:v>191</c:v>
                </c:pt>
                <c:pt idx="4">
                  <c:v>243</c:v>
                </c:pt>
                <c:pt idx="5">
                  <c:v>312</c:v>
                </c:pt>
                <c:pt idx="6">
                  <c:v>396</c:v>
                </c:pt>
                <c:pt idx="7">
                  <c:v>524</c:v>
                </c:pt>
                <c:pt idx="8">
                  <c:v>510</c:v>
                </c:pt>
                <c:pt idx="9">
                  <c:v>488</c:v>
                </c:pt>
                <c:pt idx="10">
                  <c:v>730</c:v>
                </c:pt>
                <c:pt idx="11">
                  <c:v>995</c:v>
                </c:pt>
                <c:pt idx="12">
                  <c:v>974</c:v>
                </c:pt>
                <c:pt idx="13">
                  <c:v>948</c:v>
                </c:pt>
                <c:pt idx="14">
                  <c:v>1214</c:v>
                </c:pt>
                <c:pt idx="15">
                  <c:v>1501</c:v>
                </c:pt>
                <c:pt idx="16">
                  <c:v>2032</c:v>
                </c:pt>
                <c:pt idx="17">
                  <c:v>2538</c:v>
                </c:pt>
                <c:pt idx="18">
                  <c:v>2538</c:v>
                </c:pt>
                <c:pt idx="19">
                  <c:v>2489</c:v>
                </c:pt>
                <c:pt idx="20">
                  <c:v>3774</c:v>
                </c:pt>
                <c:pt idx="21">
                  <c:v>5012</c:v>
                </c:pt>
                <c:pt idx="22">
                  <c:v>4946</c:v>
                </c:pt>
                <c:pt idx="23">
                  <c:v>4934</c:v>
                </c:pt>
                <c:pt idx="24">
                  <c:v>6136</c:v>
                </c:pt>
                <c:pt idx="25">
                  <c:v>7495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26"/>
                <c:pt idx="0">
                  <c:v>60862464</c:v>
                </c:pt>
                <c:pt idx="1">
                  <c:v>60911616</c:v>
                </c:pt>
                <c:pt idx="2">
                  <c:v>61390848</c:v>
                </c:pt>
                <c:pt idx="3">
                  <c:v>61202432</c:v>
                </c:pt>
                <c:pt idx="4" formatCode="General">
                  <c:v>61059072</c:v>
                </c:pt>
                <c:pt idx="5" formatCode="General">
                  <c:v>61358080</c:v>
                </c:pt>
                <c:pt idx="6">
                  <c:v>61394944</c:v>
                </c:pt>
                <c:pt idx="7" formatCode="General">
                  <c:v>61935616</c:v>
                </c:pt>
                <c:pt idx="8">
                  <c:v>61743104</c:v>
                </c:pt>
                <c:pt idx="9">
                  <c:v>61935616</c:v>
                </c:pt>
                <c:pt idx="10" formatCode="General">
                  <c:v>62435328</c:v>
                </c:pt>
                <c:pt idx="11">
                  <c:v>62898176</c:v>
                </c:pt>
                <c:pt idx="12">
                  <c:v>62881792</c:v>
                </c:pt>
                <c:pt idx="13" formatCode="General">
                  <c:v>62746624</c:v>
                </c:pt>
                <c:pt idx="14">
                  <c:v>63369216</c:v>
                </c:pt>
                <c:pt idx="15">
                  <c:v>63807488</c:v>
                </c:pt>
                <c:pt idx="16">
                  <c:v>64741376</c:v>
                </c:pt>
                <c:pt idx="17" formatCode="General">
                  <c:v>65851392</c:v>
                </c:pt>
                <c:pt idx="18">
                  <c:v>65982464</c:v>
                </c:pt>
                <c:pt idx="19" formatCode="General">
                  <c:v>65863680</c:v>
                </c:pt>
                <c:pt idx="20">
                  <c:v>68321280</c:v>
                </c:pt>
                <c:pt idx="21">
                  <c:v>70660096</c:v>
                </c:pt>
                <c:pt idx="22">
                  <c:v>70823936</c:v>
                </c:pt>
                <c:pt idx="23" formatCode="General">
                  <c:v>71069696</c:v>
                </c:pt>
                <c:pt idx="24">
                  <c:v>72937472</c:v>
                </c:pt>
                <c:pt idx="25">
                  <c:v>75767808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</c:valAx>
      <c:valAx>
        <c:axId val="24473126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4844416"/>
        <c:crosses val="max"/>
        <c:crossBetween val="between"/>
      </c:valAx>
      <c:catAx>
        <c:axId val="2448444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473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cat>
          <c:val>
            <c:numRef>
              <c:f>SPASS!$Q$2:$Q$91</c:f>
              <c:numCache>
                <c:formatCode>0</c:formatCode>
                <c:ptCount val="26"/>
                <c:pt idx="0">
                  <c:v>1.03</c:v>
                </c:pt>
                <c:pt idx="1">
                  <c:v>1.49</c:v>
                </c:pt>
                <c:pt idx="2">
                  <c:v>0.93500000000000005</c:v>
                </c:pt>
                <c:pt idx="3">
                  <c:v>2</c:v>
                </c:pt>
                <c:pt idx="4">
                  <c:v>2.4900000000000002</c:v>
                </c:pt>
                <c:pt idx="5">
                  <c:v>1.43</c:v>
                </c:pt>
                <c:pt idx="6">
                  <c:v>1.9950000000000001</c:v>
                </c:pt>
                <c:pt idx="7">
                  <c:v>0.95</c:v>
                </c:pt>
                <c:pt idx="8">
                  <c:v>2.41</c:v>
                </c:pt>
                <c:pt idx="9">
                  <c:v>4.93</c:v>
                </c:pt>
                <c:pt idx="10">
                  <c:v>1.532</c:v>
                </c:pt>
                <c:pt idx="11">
                  <c:v>4.8650000000000002</c:v>
                </c:pt>
                <c:pt idx="12">
                  <c:v>2.028</c:v>
                </c:pt>
                <c:pt idx="13">
                  <c:v>1.0489999999999999</c:v>
                </c:pt>
                <c:pt idx="14">
                  <c:v>2.544</c:v>
                </c:pt>
                <c:pt idx="15">
                  <c:v>1.4930000000000001</c:v>
                </c:pt>
                <c:pt idx="16">
                  <c:v>1.96</c:v>
                </c:pt>
                <c:pt idx="17">
                  <c:v>2.4510000000000001</c:v>
                </c:pt>
                <c:pt idx="18">
                  <c:v>0.98399999999999999</c:v>
                </c:pt>
                <c:pt idx="19">
                  <c:v>4.9580000000000002</c:v>
                </c:pt>
                <c:pt idx="20">
                  <c:v>1.488</c:v>
                </c:pt>
                <c:pt idx="21">
                  <c:v>4.9450000000000003</c:v>
                </c:pt>
                <c:pt idx="22">
                  <c:v>2.0184000000000002</c:v>
                </c:pt>
                <c:pt idx="23">
                  <c:v>1.0127999999999999</c:v>
                </c:pt>
                <c:pt idx="24">
                  <c:v>2.5352000000000001</c:v>
                </c:pt>
                <c:pt idx="25">
                  <c:v>1.5002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8-407B-9395-5EAD4730D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74688"/>
        <c:axId val="244848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26"/>
                <c:pt idx="0">
                  <c:v>103</c:v>
                </c:pt>
                <c:pt idx="1">
                  <c:v>149</c:v>
                </c:pt>
                <c:pt idx="2">
                  <c:v>187</c:v>
                </c:pt>
                <c:pt idx="3">
                  <c:v>200</c:v>
                </c:pt>
                <c:pt idx="4">
                  <c:v>249</c:v>
                </c:pt>
                <c:pt idx="5">
                  <c:v>286</c:v>
                </c:pt>
                <c:pt idx="6">
                  <c:v>399</c:v>
                </c:pt>
                <c:pt idx="7">
                  <c:v>475</c:v>
                </c:pt>
                <c:pt idx="8">
                  <c:v>482</c:v>
                </c:pt>
                <c:pt idx="9">
                  <c:v>493</c:v>
                </c:pt>
                <c:pt idx="10">
                  <c:v>766</c:v>
                </c:pt>
                <c:pt idx="11">
                  <c:v>973</c:v>
                </c:pt>
                <c:pt idx="12">
                  <c:v>1014</c:v>
                </c:pt>
                <c:pt idx="13">
                  <c:v>1049</c:v>
                </c:pt>
                <c:pt idx="14">
                  <c:v>1272</c:v>
                </c:pt>
                <c:pt idx="15">
                  <c:v>1493</c:v>
                </c:pt>
                <c:pt idx="16">
                  <c:v>1960</c:v>
                </c:pt>
                <c:pt idx="17">
                  <c:v>2451</c:v>
                </c:pt>
                <c:pt idx="18">
                  <c:v>2460</c:v>
                </c:pt>
                <c:pt idx="19">
                  <c:v>2479</c:v>
                </c:pt>
                <c:pt idx="20">
                  <c:v>3720</c:v>
                </c:pt>
                <c:pt idx="21">
                  <c:v>4945</c:v>
                </c:pt>
                <c:pt idx="22">
                  <c:v>5046</c:v>
                </c:pt>
                <c:pt idx="23">
                  <c:v>5064</c:v>
                </c:pt>
                <c:pt idx="24">
                  <c:v>6338</c:v>
                </c:pt>
                <c:pt idx="25">
                  <c:v>7501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26"/>
                <c:pt idx="0">
                  <c:v>60862464</c:v>
                </c:pt>
                <c:pt idx="1">
                  <c:v>60911616</c:v>
                </c:pt>
                <c:pt idx="2">
                  <c:v>61390848</c:v>
                </c:pt>
                <c:pt idx="3">
                  <c:v>61202432</c:v>
                </c:pt>
                <c:pt idx="4" formatCode="General">
                  <c:v>61059072</c:v>
                </c:pt>
                <c:pt idx="5" formatCode="General">
                  <c:v>61358080</c:v>
                </c:pt>
                <c:pt idx="6">
                  <c:v>61394944</c:v>
                </c:pt>
                <c:pt idx="7" formatCode="General">
                  <c:v>61935616</c:v>
                </c:pt>
                <c:pt idx="8">
                  <c:v>61743104</c:v>
                </c:pt>
                <c:pt idx="9">
                  <c:v>61935616</c:v>
                </c:pt>
                <c:pt idx="10" formatCode="General">
                  <c:v>62435328</c:v>
                </c:pt>
                <c:pt idx="11">
                  <c:v>62898176</c:v>
                </c:pt>
                <c:pt idx="12">
                  <c:v>62881792</c:v>
                </c:pt>
                <c:pt idx="13" formatCode="General">
                  <c:v>62746624</c:v>
                </c:pt>
                <c:pt idx="14">
                  <c:v>63369216</c:v>
                </c:pt>
                <c:pt idx="15">
                  <c:v>63807488</c:v>
                </c:pt>
                <c:pt idx="16">
                  <c:v>64741376</c:v>
                </c:pt>
                <c:pt idx="17" formatCode="General">
                  <c:v>65851392</c:v>
                </c:pt>
                <c:pt idx="18">
                  <c:v>65982464</c:v>
                </c:pt>
                <c:pt idx="19" formatCode="General">
                  <c:v>65863680</c:v>
                </c:pt>
                <c:pt idx="20">
                  <c:v>68321280</c:v>
                </c:pt>
                <c:pt idx="21">
                  <c:v>70660096</c:v>
                </c:pt>
                <c:pt idx="22">
                  <c:v>70823936</c:v>
                </c:pt>
                <c:pt idx="23" formatCode="General">
                  <c:v>71069696</c:v>
                </c:pt>
                <c:pt idx="24">
                  <c:v>72937472</c:v>
                </c:pt>
                <c:pt idx="25">
                  <c:v>75767808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</c:valAx>
      <c:valAx>
        <c:axId val="2448488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36274688"/>
        <c:crosses val="max"/>
        <c:crossBetween val="between"/>
      </c:valAx>
      <c:catAx>
        <c:axId val="13627468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4848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1"/>
      </filters>
    </filterColumn>
    <filterColumn colId="15">
      <filters>
        <filter val="satisfiable"/>
        <filter val="unsatisfiable"/>
      </filters>
    </filterColumn>
  </autoFilter>
  <sortState ref="A4:Q89">
    <sortCondition ref="M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var / clause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1"/>
      </filters>
    </filterColumn>
    <filterColumn colId="15">
      <filters blank="1">
        <filter val="satisfiable"/>
      </filters>
    </filterColumn>
  </autoFilter>
  <sortState ref="A4:Q89">
    <sortCondition ref="M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var / clause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topLeftCell="A92" zoomScale="70" zoomScaleNormal="70" workbookViewId="0">
      <selection activeCell="M2" sqref="M2:M91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13</v>
      </c>
      <c r="B2" t="s">
        <v>27</v>
      </c>
      <c r="C2">
        <v>1.122303999727592E-2</v>
      </c>
      <c r="D2">
        <v>2592768</v>
      </c>
      <c r="E2" t="s">
        <v>83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127</v>
      </c>
      <c r="L2">
        <v>133</v>
      </c>
      <c r="M2">
        <v>65</v>
      </c>
      <c r="N2" t="s">
        <v>15</v>
      </c>
      <c r="O2">
        <v>2</v>
      </c>
      <c r="P2" t="s">
        <v>18</v>
      </c>
      <c r="Q2" s="3">
        <f>Query1[[#This Row],[program_name.test_cases.input.number_of_variables]]/H2</f>
        <v>0.65</v>
      </c>
    </row>
    <row r="3" spans="1:17" hidden="1" x14ac:dyDescent="0.25">
      <c r="A3" t="s">
        <v>13</v>
      </c>
      <c r="B3" t="s">
        <v>27</v>
      </c>
      <c r="C3">
        <v>1.1329739994835109E-2</v>
      </c>
      <c r="D3">
        <v>2543616</v>
      </c>
      <c r="E3" t="s">
        <v>99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122</v>
      </c>
      <c r="L3">
        <v>66</v>
      </c>
      <c r="M3">
        <v>133</v>
      </c>
      <c r="N3" t="s">
        <v>15</v>
      </c>
      <c r="O3">
        <v>0</v>
      </c>
      <c r="P3" t="s">
        <v>17</v>
      </c>
      <c r="Q3" s="3">
        <f>Query1[[#This Row],[program_name.test_cases.input.number_of_variables]]/H3</f>
        <v>1.33</v>
      </c>
    </row>
    <row r="4" spans="1:17" x14ac:dyDescent="0.25">
      <c r="A4" t="s">
        <v>13</v>
      </c>
      <c r="B4" t="s">
        <v>14</v>
      </c>
      <c r="C4">
        <v>2.3124239989556372E-2</v>
      </c>
      <c r="D4">
        <v>2748416</v>
      </c>
      <c r="E4" t="s">
        <v>28</v>
      </c>
      <c r="F4" t="s">
        <v>24</v>
      </c>
      <c r="G4" t="s">
        <v>25</v>
      </c>
      <c r="H4">
        <v>100</v>
      </c>
      <c r="I4">
        <v>200</v>
      </c>
      <c r="J4">
        <v>3</v>
      </c>
      <c r="K4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Row],[program_name.test_cases.input.number_of_variables]]/H4</f>
        <v>1.03</v>
      </c>
    </row>
    <row r="5" spans="1:17" hidden="1" x14ac:dyDescent="0.25">
      <c r="A5" s="1" t="s">
        <v>13</v>
      </c>
      <c r="B5" s="1" t="s">
        <v>27</v>
      </c>
      <c r="C5" s="5">
        <v>2.1580666012596339E-2</v>
      </c>
      <c r="D5" s="3">
        <v>2793472</v>
      </c>
      <c r="E5" s="1" t="s">
        <v>78</v>
      </c>
      <c r="F5" s="1" t="s">
        <v>24</v>
      </c>
      <c r="G5" s="1" t="s">
        <v>25</v>
      </c>
      <c r="H5" s="1">
        <v>100</v>
      </c>
      <c r="I5" s="2">
        <v>300</v>
      </c>
      <c r="J5" s="2">
        <v>4</v>
      </c>
      <c r="K5" s="2">
        <v>190</v>
      </c>
      <c r="L5" s="2">
        <v>78</v>
      </c>
      <c r="M5" s="2">
        <v>221</v>
      </c>
      <c r="N5" s="2" t="s">
        <v>15</v>
      </c>
      <c r="O5" s="1">
        <v>2</v>
      </c>
      <c r="P5" s="1" t="s">
        <v>18</v>
      </c>
      <c r="Q5" s="3">
        <f>Query1[[#This Row],[program_name.test_cases.input.number_of_variables]]/H5</f>
        <v>2.21</v>
      </c>
    </row>
    <row r="6" spans="1:17" hidden="1" x14ac:dyDescent="0.25">
      <c r="A6" t="s">
        <v>13</v>
      </c>
      <c r="B6" t="s">
        <v>14</v>
      </c>
      <c r="C6">
        <v>300.00477574102115</v>
      </c>
      <c r="D6">
        <v>9052160</v>
      </c>
      <c r="E6" t="s">
        <v>32</v>
      </c>
      <c r="F6" t="s">
        <v>24</v>
      </c>
      <c r="G6" t="s">
        <v>25</v>
      </c>
      <c r="H6">
        <v>2500</v>
      </c>
      <c r="I6">
        <v>10000</v>
      </c>
      <c r="J6">
        <v>6</v>
      </c>
      <c r="K6">
        <v>6270</v>
      </c>
      <c r="L6">
        <v>4946</v>
      </c>
      <c r="M6">
        <v>5046</v>
      </c>
      <c r="N6" t="s">
        <v>15</v>
      </c>
      <c r="P6" t="s">
        <v>16</v>
      </c>
    </row>
    <row r="7" spans="1:17" hidden="1" x14ac:dyDescent="0.25">
      <c r="A7" t="s">
        <v>13</v>
      </c>
      <c r="B7" t="s">
        <v>27</v>
      </c>
      <c r="C7">
        <v>2.1610727009829137E-2</v>
      </c>
      <c r="D7">
        <v>2789376</v>
      </c>
      <c r="E7" t="s">
        <v>100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2</v>
      </c>
      <c r="P7" t="s">
        <v>18</v>
      </c>
      <c r="Q7" s="3">
        <f>Query1[[#This Row],[program_name.test_cases.input.number_of_variables]]/H7</f>
        <v>0.85</v>
      </c>
    </row>
    <row r="8" spans="1:17" hidden="1" x14ac:dyDescent="0.25">
      <c r="A8" t="s">
        <v>13</v>
      </c>
      <c r="B8" t="s">
        <v>14</v>
      </c>
      <c r="C8">
        <v>299.99913609796204</v>
      </c>
      <c r="D8">
        <v>18509824</v>
      </c>
      <c r="E8" t="s">
        <v>34</v>
      </c>
      <c r="F8" t="s">
        <v>24</v>
      </c>
      <c r="G8" t="s">
        <v>25</v>
      </c>
      <c r="H8">
        <v>5000</v>
      </c>
      <c r="I8">
        <v>25000</v>
      </c>
      <c r="J8">
        <v>8</v>
      </c>
      <c r="K8">
        <v>15658</v>
      </c>
      <c r="L8">
        <v>12546</v>
      </c>
      <c r="M8">
        <v>12433</v>
      </c>
      <c r="N8" t="s">
        <v>15</v>
      </c>
      <c r="P8" t="s">
        <v>16</v>
      </c>
    </row>
    <row r="9" spans="1:17" hidden="1" x14ac:dyDescent="0.25">
      <c r="A9" t="s">
        <v>13</v>
      </c>
      <c r="B9" t="s">
        <v>14</v>
      </c>
      <c r="C9">
        <v>300.00610450597014</v>
      </c>
      <c r="D9">
        <v>12955648</v>
      </c>
      <c r="E9" t="s">
        <v>35</v>
      </c>
      <c r="F9" t="s">
        <v>24</v>
      </c>
      <c r="G9" t="s">
        <v>25</v>
      </c>
      <c r="H9">
        <v>5000</v>
      </c>
      <c r="I9">
        <v>15000</v>
      </c>
      <c r="J9">
        <v>4</v>
      </c>
      <c r="K9">
        <v>9366</v>
      </c>
      <c r="L9">
        <v>7495</v>
      </c>
      <c r="M9">
        <v>7501</v>
      </c>
      <c r="N9" t="s">
        <v>15</v>
      </c>
      <c r="P9" t="s">
        <v>16</v>
      </c>
    </row>
    <row r="10" spans="1:17" hidden="1" x14ac:dyDescent="0.25">
      <c r="A10" s="1" t="s">
        <v>13</v>
      </c>
      <c r="B10" s="1" t="s">
        <v>14</v>
      </c>
      <c r="C10" s="5">
        <v>300.00164429203141</v>
      </c>
      <c r="D10" s="3">
        <v>3694592</v>
      </c>
      <c r="E10" s="1" t="s">
        <v>36</v>
      </c>
      <c r="F10" s="1" t="s">
        <v>24</v>
      </c>
      <c r="G10" s="1" t="s">
        <v>25</v>
      </c>
      <c r="H10" s="1">
        <v>200</v>
      </c>
      <c r="I10" s="2">
        <v>2000</v>
      </c>
      <c r="J10" s="2">
        <v>16</v>
      </c>
      <c r="K10" s="2">
        <v>1253</v>
      </c>
      <c r="L10" s="2">
        <v>995</v>
      </c>
      <c r="M10" s="2">
        <v>973</v>
      </c>
      <c r="N10" s="2" t="s">
        <v>15</v>
      </c>
      <c r="O10" s="1"/>
      <c r="P10" s="1" t="s">
        <v>16</v>
      </c>
      <c r="Q10" s="2">
        <f>Query1[[#This Row],[program_name.test_cases.input.number_of_variables]]/H10</f>
        <v>4.8650000000000002</v>
      </c>
    </row>
    <row r="11" spans="1:17" x14ac:dyDescent="0.25">
      <c r="A11" t="s">
        <v>13</v>
      </c>
      <c r="B11" t="s">
        <v>14</v>
      </c>
      <c r="C11">
        <v>2.1462353994138539E-2</v>
      </c>
      <c r="D11">
        <v>2686976</v>
      </c>
      <c r="E11" t="s">
        <v>45</v>
      </c>
      <c r="F11" t="s">
        <v>24</v>
      </c>
      <c r="G11" t="s">
        <v>25</v>
      </c>
      <c r="H11">
        <v>100</v>
      </c>
      <c r="I11">
        <v>300</v>
      </c>
      <c r="J11">
        <v>4</v>
      </c>
      <c r="K11">
        <v>188</v>
      </c>
      <c r="L11">
        <v>147</v>
      </c>
      <c r="M11">
        <v>149</v>
      </c>
      <c r="N11" t="s">
        <v>15</v>
      </c>
      <c r="O11">
        <v>2</v>
      </c>
      <c r="P11" t="s">
        <v>18</v>
      </c>
      <c r="Q11" s="3">
        <f>Query1[[#This Row],[program_name.test_cases.input.number_of_variables]]/H11</f>
        <v>1.49</v>
      </c>
    </row>
    <row r="12" spans="1:17" hidden="1" x14ac:dyDescent="0.25">
      <c r="A12" t="s">
        <v>13</v>
      </c>
      <c r="B12" t="s">
        <v>27</v>
      </c>
      <c r="C12">
        <v>3.1820431991945952E-2</v>
      </c>
      <c r="D12">
        <v>2686976</v>
      </c>
      <c r="E12" t="s">
        <v>88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258</v>
      </c>
      <c r="L12">
        <v>318</v>
      </c>
      <c r="M12">
        <v>81</v>
      </c>
      <c r="N12" t="s">
        <v>15</v>
      </c>
      <c r="O12">
        <v>0</v>
      </c>
      <c r="P12" t="s">
        <v>17</v>
      </c>
      <c r="Q12" s="3">
        <f>Query1[[#This Row],[program_name.test_cases.input.number_of_variables]]/H12</f>
        <v>0.81</v>
      </c>
    </row>
    <row r="13" spans="1:17" x14ac:dyDescent="0.25">
      <c r="A13" s="1" t="s">
        <v>13</v>
      </c>
      <c r="B13" s="1" t="s">
        <v>14</v>
      </c>
      <c r="C13" s="5">
        <v>5.3029003960546106E-2</v>
      </c>
      <c r="D13" s="3">
        <v>2727936</v>
      </c>
      <c r="E13" s="1" t="s">
        <v>37</v>
      </c>
      <c r="F13" s="1" t="s">
        <v>24</v>
      </c>
      <c r="G13" s="1" t="s">
        <v>25</v>
      </c>
      <c r="H13" s="1">
        <v>200</v>
      </c>
      <c r="I13" s="2">
        <v>400</v>
      </c>
      <c r="J13" s="2">
        <v>3</v>
      </c>
      <c r="K13" s="2">
        <v>263</v>
      </c>
      <c r="L13" s="2">
        <v>211</v>
      </c>
      <c r="M13" s="2">
        <v>187</v>
      </c>
      <c r="N13" s="2" t="s">
        <v>15</v>
      </c>
      <c r="O13" s="1">
        <v>0</v>
      </c>
      <c r="P13" s="1" t="s">
        <v>17</v>
      </c>
      <c r="Q13" s="3">
        <f>Query1[[#This Row],[program_name.test_cases.input.number_of_variables]]/H13</f>
        <v>0.93500000000000005</v>
      </c>
    </row>
    <row r="14" spans="1:17" hidden="1" x14ac:dyDescent="0.25">
      <c r="A14" s="1" t="s">
        <v>13</v>
      </c>
      <c r="B14" s="1" t="s">
        <v>27</v>
      </c>
      <c r="C14" s="5">
        <v>3.2196104992181063E-2</v>
      </c>
      <c r="D14" s="3">
        <v>2691072</v>
      </c>
      <c r="E14" s="1" t="s">
        <v>67</v>
      </c>
      <c r="F14" s="1" t="s">
        <v>24</v>
      </c>
      <c r="G14" s="1" t="s">
        <v>25</v>
      </c>
      <c r="H14" s="1">
        <v>100</v>
      </c>
      <c r="I14" s="2">
        <v>400</v>
      </c>
      <c r="J14" s="2">
        <v>6</v>
      </c>
      <c r="K14" s="2">
        <v>248</v>
      </c>
      <c r="L14" s="2">
        <v>77</v>
      </c>
      <c r="M14" s="2">
        <v>319</v>
      </c>
      <c r="N14" s="2" t="s">
        <v>15</v>
      </c>
      <c r="O14" s="1">
        <v>2</v>
      </c>
      <c r="P14" s="1" t="s">
        <v>18</v>
      </c>
      <c r="Q14" s="3">
        <f>Query1[[#This Row],[program_name.test_cases.input.number_of_variables]]/H14</f>
        <v>3.19</v>
      </c>
    </row>
    <row r="15" spans="1:17" hidden="1" x14ac:dyDescent="0.25">
      <c r="A15" t="s">
        <v>13</v>
      </c>
      <c r="B15" t="s">
        <v>14</v>
      </c>
      <c r="C15">
        <v>300.00852283998393</v>
      </c>
      <c r="D15">
        <v>15585280</v>
      </c>
      <c r="E15" t="s">
        <v>41</v>
      </c>
      <c r="F15" t="s">
        <v>24</v>
      </c>
      <c r="G15" t="s">
        <v>25</v>
      </c>
      <c r="H15">
        <v>5000</v>
      </c>
      <c r="I15">
        <v>20000</v>
      </c>
      <c r="J15">
        <v>6</v>
      </c>
      <c r="K15">
        <v>12526</v>
      </c>
      <c r="L15">
        <v>10009</v>
      </c>
      <c r="M15">
        <v>9979</v>
      </c>
      <c r="N15" t="s">
        <v>15</v>
      </c>
      <c r="P15" t="s">
        <v>16</v>
      </c>
    </row>
    <row r="16" spans="1:17" hidden="1" x14ac:dyDescent="0.25">
      <c r="A16" s="1" t="s">
        <v>13</v>
      </c>
      <c r="B16" s="1" t="s">
        <v>27</v>
      </c>
      <c r="C16" s="5">
        <v>4.2578385036904365E-2</v>
      </c>
      <c r="D16" s="3">
        <v>2813952</v>
      </c>
      <c r="E16" s="1" t="s">
        <v>75</v>
      </c>
      <c r="F16" s="1" t="s">
        <v>24</v>
      </c>
      <c r="G16" s="1" t="s">
        <v>25</v>
      </c>
      <c r="H16" s="1">
        <v>200</v>
      </c>
      <c r="I16" s="2">
        <v>400</v>
      </c>
      <c r="J16" s="2">
        <v>3</v>
      </c>
      <c r="K16" s="2">
        <v>244</v>
      </c>
      <c r="L16" s="2">
        <v>270</v>
      </c>
      <c r="M16" s="2">
        <v>130</v>
      </c>
      <c r="N16" s="2" t="s">
        <v>15</v>
      </c>
      <c r="O16" s="1">
        <v>0</v>
      </c>
      <c r="P16" s="1" t="s">
        <v>17</v>
      </c>
      <c r="Q16" s="3">
        <f>Query1[[#This Row],[program_name.test_cases.input.number_of_variables]]/H16</f>
        <v>0.65</v>
      </c>
    </row>
    <row r="17" spans="1:17" hidden="1" x14ac:dyDescent="0.25">
      <c r="A17" t="s">
        <v>13</v>
      </c>
      <c r="B17" t="s">
        <v>14</v>
      </c>
      <c r="C17">
        <v>300.00793372496264</v>
      </c>
      <c r="D17">
        <v>10674176</v>
      </c>
      <c r="E17" t="s">
        <v>43</v>
      </c>
      <c r="F17" t="s">
        <v>24</v>
      </c>
      <c r="G17" t="s">
        <v>25</v>
      </c>
      <c r="H17">
        <v>2500</v>
      </c>
      <c r="I17">
        <v>12500</v>
      </c>
      <c r="J17">
        <v>8</v>
      </c>
      <c r="K17">
        <v>7810</v>
      </c>
      <c r="L17">
        <v>6136</v>
      </c>
      <c r="M17">
        <v>6338</v>
      </c>
      <c r="N17" t="s">
        <v>15</v>
      </c>
      <c r="P17" t="s">
        <v>16</v>
      </c>
    </row>
    <row r="18" spans="1:17" hidden="1" x14ac:dyDescent="0.25">
      <c r="A18" s="1" t="s">
        <v>13</v>
      </c>
      <c r="B18" s="1" t="s">
        <v>27</v>
      </c>
      <c r="C18" s="5">
        <v>4.2780510033480823E-2</v>
      </c>
      <c r="D18" s="3">
        <v>2949120</v>
      </c>
      <c r="E18" s="1" t="s">
        <v>85</v>
      </c>
      <c r="F18" s="1" t="s">
        <v>24</v>
      </c>
      <c r="G18" s="1" t="s">
        <v>25</v>
      </c>
      <c r="H18" s="1">
        <v>100</v>
      </c>
      <c r="I18" s="2">
        <v>500</v>
      </c>
      <c r="J18" s="2">
        <v>8</v>
      </c>
      <c r="K18" s="2">
        <v>315</v>
      </c>
      <c r="L18" s="2">
        <v>406</v>
      </c>
      <c r="M18" s="2">
        <v>85</v>
      </c>
      <c r="N18" s="2" t="s">
        <v>15</v>
      </c>
      <c r="O18" s="1">
        <v>2</v>
      </c>
      <c r="P18" s="1" t="s">
        <v>18</v>
      </c>
      <c r="Q18" s="3">
        <f>Query1[[#This Row],[program_name.test_cases.input.number_of_variables]]/H18</f>
        <v>0.85</v>
      </c>
    </row>
    <row r="19" spans="1:17" hidden="1" x14ac:dyDescent="0.25">
      <c r="A19" t="s">
        <v>13</v>
      </c>
      <c r="B19" t="s">
        <v>27</v>
      </c>
      <c r="C19">
        <v>5.2557750954292715E-2</v>
      </c>
      <c r="D19">
        <v>3047424</v>
      </c>
      <c r="E19" t="s">
        <v>98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320</v>
      </c>
      <c r="L19">
        <v>73</v>
      </c>
      <c r="M19">
        <v>414</v>
      </c>
      <c r="N19" t="s">
        <v>15</v>
      </c>
      <c r="O19">
        <v>2</v>
      </c>
      <c r="P19" t="s">
        <v>18</v>
      </c>
      <c r="Q19" s="3">
        <f>Query1[[#This Row],[program_name.test_cases.input.number_of_variables]]/H19</f>
        <v>4.1399999999999997</v>
      </c>
    </row>
    <row r="20" spans="1:17" hidden="1" x14ac:dyDescent="0.25">
      <c r="A20" s="1" t="s">
        <v>13</v>
      </c>
      <c r="B20" s="1" t="s">
        <v>14</v>
      </c>
      <c r="C20" s="5">
        <v>300.00058345199795</v>
      </c>
      <c r="D20" s="3">
        <v>32231424</v>
      </c>
      <c r="E20" s="1" t="s">
        <v>46</v>
      </c>
      <c r="F20" s="1" t="s">
        <v>24</v>
      </c>
      <c r="G20" s="1" t="s">
        <v>25</v>
      </c>
      <c r="H20" s="1">
        <v>5000</v>
      </c>
      <c r="I20" s="2">
        <v>50000</v>
      </c>
      <c r="J20" s="2">
        <v>16</v>
      </c>
      <c r="K20" s="2">
        <v>31159</v>
      </c>
      <c r="L20" s="2">
        <v>25011</v>
      </c>
      <c r="M20" s="2">
        <v>24952</v>
      </c>
      <c r="N20" s="2" t="s">
        <v>15</v>
      </c>
      <c r="O20" s="1"/>
      <c r="P20" s="1" t="s">
        <v>16</v>
      </c>
      <c r="Q20" s="2">
        <f>Query1[[#This Row],[program_name.test_cases.input.number_of_variables]]/H20</f>
        <v>4.9904000000000002</v>
      </c>
    </row>
    <row r="21" spans="1:17" hidden="1" x14ac:dyDescent="0.25">
      <c r="A21" t="s">
        <v>13</v>
      </c>
      <c r="B21" t="s">
        <v>14</v>
      </c>
      <c r="C21">
        <v>300.00478086801013</v>
      </c>
      <c r="D21">
        <v>17735680</v>
      </c>
      <c r="E21" t="s">
        <v>47</v>
      </c>
      <c r="F21" t="s">
        <v>24</v>
      </c>
      <c r="G21" t="s">
        <v>25</v>
      </c>
      <c r="H21">
        <v>2500</v>
      </c>
      <c r="I21">
        <v>25000</v>
      </c>
      <c r="J21">
        <v>16</v>
      </c>
      <c r="K21">
        <v>15621</v>
      </c>
      <c r="L21">
        <v>12475</v>
      </c>
      <c r="M21">
        <v>12498</v>
      </c>
      <c r="N21" t="s">
        <v>15</v>
      </c>
      <c r="P21" t="s">
        <v>16</v>
      </c>
    </row>
    <row r="22" spans="1:17" x14ac:dyDescent="0.25">
      <c r="A22" t="s">
        <v>13</v>
      </c>
      <c r="B22" t="s">
        <v>14</v>
      </c>
      <c r="C22">
        <v>3.2018577971030027E-2</v>
      </c>
      <c r="D22">
        <v>2686976</v>
      </c>
      <c r="E22" t="s">
        <v>38</v>
      </c>
      <c r="F22" t="s">
        <v>24</v>
      </c>
      <c r="G22" t="s">
        <v>25</v>
      </c>
      <c r="H22">
        <v>100</v>
      </c>
      <c r="I22">
        <v>400</v>
      </c>
      <c r="J22">
        <v>6</v>
      </c>
      <c r="K22">
        <v>247</v>
      </c>
      <c r="L22">
        <v>191</v>
      </c>
      <c r="M22">
        <v>200</v>
      </c>
      <c r="N22" t="s">
        <v>15</v>
      </c>
      <c r="O22">
        <v>2</v>
      </c>
      <c r="P22" t="s">
        <v>18</v>
      </c>
      <c r="Q22" s="3">
        <f>Query1[[#This Row],[program_name.test_cases.input.number_of_variables]]/H22</f>
        <v>2</v>
      </c>
    </row>
    <row r="23" spans="1:17" hidden="1" x14ac:dyDescent="0.25">
      <c r="A23" t="s">
        <v>13</v>
      </c>
      <c r="B23" t="s">
        <v>27</v>
      </c>
      <c r="C23">
        <v>5.273381998995319E-2</v>
      </c>
      <c r="D23">
        <v>2756608</v>
      </c>
      <c r="E23" t="s">
        <v>111</v>
      </c>
      <c r="F23" t="s">
        <v>24</v>
      </c>
      <c r="G23" t="s">
        <v>25</v>
      </c>
      <c r="H23">
        <v>200</v>
      </c>
      <c r="I23">
        <v>400</v>
      </c>
      <c r="J23">
        <v>3</v>
      </c>
      <c r="K23">
        <v>244</v>
      </c>
      <c r="L23">
        <v>134</v>
      </c>
      <c r="M23">
        <v>265</v>
      </c>
      <c r="N23" t="s">
        <v>15</v>
      </c>
      <c r="O23">
        <v>0</v>
      </c>
      <c r="P23" t="s">
        <v>17</v>
      </c>
      <c r="Q23" s="3">
        <f>Query1[[#This Row],[program_name.test_cases.input.number_of_variables]]/H23</f>
        <v>1.325</v>
      </c>
    </row>
    <row r="24" spans="1:17" x14ac:dyDescent="0.25">
      <c r="A24" t="s">
        <v>13</v>
      </c>
      <c r="B24" t="s">
        <v>14</v>
      </c>
      <c r="C24">
        <v>5.2614741027355194E-2</v>
      </c>
      <c r="D24">
        <v>2985984</v>
      </c>
      <c r="E24" t="s">
        <v>51</v>
      </c>
      <c r="F24" t="s">
        <v>24</v>
      </c>
      <c r="G24" t="s">
        <v>25</v>
      </c>
      <c r="H24">
        <v>100</v>
      </c>
      <c r="I24">
        <v>500</v>
      </c>
      <c r="J24">
        <v>8</v>
      </c>
      <c r="K24">
        <v>316</v>
      </c>
      <c r="L24">
        <v>243</v>
      </c>
      <c r="M24">
        <v>249</v>
      </c>
      <c r="N24" t="s">
        <v>15</v>
      </c>
      <c r="O24">
        <v>2</v>
      </c>
      <c r="P24" t="s">
        <v>18</v>
      </c>
      <c r="Q24" s="3">
        <f>Query1[[#This Row],[program_name.test_cases.input.number_of_variables]]/H24</f>
        <v>2.4900000000000002</v>
      </c>
    </row>
    <row r="25" spans="1:17" hidden="1" x14ac:dyDescent="0.25">
      <c r="A25" t="s">
        <v>13</v>
      </c>
      <c r="B25" t="s">
        <v>27</v>
      </c>
      <c r="C25">
        <v>9.3785955978091806E-2</v>
      </c>
      <c r="D25">
        <v>2920448</v>
      </c>
      <c r="E25" t="s">
        <v>70</v>
      </c>
      <c r="F25" t="s">
        <v>24</v>
      </c>
      <c r="G25" t="s">
        <v>25</v>
      </c>
      <c r="H25">
        <v>200</v>
      </c>
      <c r="I25">
        <v>600</v>
      </c>
      <c r="J25">
        <v>4</v>
      </c>
      <c r="K25">
        <v>372</v>
      </c>
      <c r="L25">
        <v>450</v>
      </c>
      <c r="M25">
        <v>146</v>
      </c>
      <c r="N25" t="s">
        <v>15</v>
      </c>
      <c r="O25">
        <v>2</v>
      </c>
      <c r="P25" t="s">
        <v>18</v>
      </c>
      <c r="Q25" s="3">
        <f>Query1[[#This Row],[program_name.test_cases.input.number_of_variables]]/H25</f>
        <v>0.73</v>
      </c>
    </row>
    <row r="26" spans="1:17" hidden="1" x14ac:dyDescent="0.25">
      <c r="A26" t="s">
        <v>13</v>
      </c>
      <c r="B26" t="s">
        <v>27</v>
      </c>
      <c r="C26">
        <v>0.10409068403532729</v>
      </c>
      <c r="D26">
        <v>2949120</v>
      </c>
      <c r="E26" t="s">
        <v>108</v>
      </c>
      <c r="F26" t="s">
        <v>24</v>
      </c>
      <c r="G26" t="s">
        <v>25</v>
      </c>
      <c r="H26">
        <v>200</v>
      </c>
      <c r="I26">
        <v>600</v>
      </c>
      <c r="J26">
        <v>4</v>
      </c>
      <c r="K26">
        <v>377</v>
      </c>
      <c r="L26">
        <v>162</v>
      </c>
      <c r="M26">
        <v>434</v>
      </c>
      <c r="N26" t="s">
        <v>15</v>
      </c>
      <c r="O26">
        <v>2</v>
      </c>
      <c r="P26" t="s">
        <v>18</v>
      </c>
      <c r="Q26" s="3">
        <f>Query1[[#This Row],[program_name.test_cases.input.number_of_variables]]/H26</f>
        <v>2.17</v>
      </c>
    </row>
    <row r="27" spans="1:17" x14ac:dyDescent="0.25">
      <c r="A27" t="s">
        <v>13</v>
      </c>
      <c r="B27" t="s">
        <v>14</v>
      </c>
      <c r="C27">
        <v>0.11420452501624824</v>
      </c>
      <c r="D27">
        <v>2994176</v>
      </c>
      <c r="E27" t="s">
        <v>50</v>
      </c>
      <c r="F27" t="s">
        <v>24</v>
      </c>
      <c r="G27" t="s">
        <v>25</v>
      </c>
      <c r="H27">
        <v>200</v>
      </c>
      <c r="I27">
        <v>600</v>
      </c>
      <c r="J27">
        <v>4</v>
      </c>
      <c r="K27">
        <v>376</v>
      </c>
      <c r="L27">
        <v>312</v>
      </c>
      <c r="M27">
        <v>286</v>
      </c>
      <c r="N27" t="s">
        <v>15</v>
      </c>
      <c r="O27">
        <v>2</v>
      </c>
      <c r="P27" t="s">
        <v>18</v>
      </c>
      <c r="Q27" s="3">
        <f>Query1[[#This Row],[program_name.test_cases.input.number_of_variables]]/H27</f>
        <v>1.43</v>
      </c>
    </row>
    <row r="28" spans="1:17" hidden="1" x14ac:dyDescent="0.25">
      <c r="A28" t="s">
        <v>13</v>
      </c>
      <c r="B28" t="s">
        <v>27</v>
      </c>
      <c r="C28">
        <v>0.11450783198233694</v>
      </c>
      <c r="D28">
        <v>2990080</v>
      </c>
      <c r="E28" t="s">
        <v>79</v>
      </c>
      <c r="F28" t="s">
        <v>24</v>
      </c>
      <c r="G28" t="s">
        <v>25</v>
      </c>
      <c r="H28">
        <v>200</v>
      </c>
      <c r="I28">
        <v>800</v>
      </c>
      <c r="J28">
        <v>6</v>
      </c>
      <c r="K28">
        <v>481</v>
      </c>
      <c r="L28">
        <v>183</v>
      </c>
      <c r="M28">
        <v>612</v>
      </c>
      <c r="N28" t="s">
        <v>15</v>
      </c>
      <c r="O28">
        <v>0</v>
      </c>
      <c r="P28" t="s">
        <v>17</v>
      </c>
      <c r="Q28" s="3">
        <f>Query1[[#This Row],[program_name.test_cases.input.number_of_variables]]/H28</f>
        <v>3.06</v>
      </c>
    </row>
    <row r="29" spans="1:17" hidden="1" x14ac:dyDescent="0.25">
      <c r="A29" s="1" t="s">
        <v>13</v>
      </c>
      <c r="B29" s="1" t="s">
        <v>27</v>
      </c>
      <c r="C29" s="5">
        <v>0.14497976802522317</v>
      </c>
      <c r="D29" s="3">
        <v>3198976</v>
      </c>
      <c r="E29" s="1" t="s">
        <v>87</v>
      </c>
      <c r="F29" s="1" t="s">
        <v>24</v>
      </c>
      <c r="G29" s="1" t="s">
        <v>25</v>
      </c>
      <c r="H29" s="1">
        <v>100</v>
      </c>
      <c r="I29" s="2">
        <v>1000</v>
      </c>
      <c r="J29" s="2">
        <v>16</v>
      </c>
      <c r="K29" s="2">
        <v>635</v>
      </c>
      <c r="L29" s="2">
        <v>896</v>
      </c>
      <c r="M29" s="2">
        <v>86</v>
      </c>
      <c r="N29" s="2" t="s">
        <v>15</v>
      </c>
      <c r="O29" s="1">
        <v>2</v>
      </c>
      <c r="P29" s="1" t="s">
        <v>18</v>
      </c>
      <c r="Q29" s="3">
        <f>Query1[[#This Row],[program_name.test_cases.input.number_of_variables]]/H29</f>
        <v>0.86</v>
      </c>
    </row>
    <row r="30" spans="1:17" x14ac:dyDescent="0.25">
      <c r="A30" s="1" t="s">
        <v>13</v>
      </c>
      <c r="B30" s="1" t="s">
        <v>14</v>
      </c>
      <c r="C30" s="5">
        <v>0.15577981801470742</v>
      </c>
      <c r="D30" s="3">
        <v>2998272</v>
      </c>
      <c r="E30" s="1" t="s">
        <v>48</v>
      </c>
      <c r="F30" s="1" t="s">
        <v>24</v>
      </c>
      <c r="G30" s="1" t="s">
        <v>25</v>
      </c>
      <c r="H30" s="1">
        <v>200</v>
      </c>
      <c r="I30" s="2">
        <v>800</v>
      </c>
      <c r="J30" s="2">
        <v>6</v>
      </c>
      <c r="K30" s="2">
        <v>518</v>
      </c>
      <c r="L30" s="2">
        <v>396</v>
      </c>
      <c r="M30" s="2">
        <v>399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Row],[program_name.test_cases.input.number_of_variables]]/H30</f>
        <v>1.9950000000000001</v>
      </c>
    </row>
    <row r="31" spans="1:17" hidden="1" x14ac:dyDescent="0.25">
      <c r="A31" t="s">
        <v>13</v>
      </c>
      <c r="B31" t="s">
        <v>14</v>
      </c>
      <c r="C31">
        <v>300.00657424802193</v>
      </c>
      <c r="D31">
        <v>9961472</v>
      </c>
      <c r="E31" t="s">
        <v>57</v>
      </c>
      <c r="F31" t="s">
        <v>24</v>
      </c>
      <c r="G31" t="s">
        <v>25</v>
      </c>
      <c r="H31">
        <v>5000</v>
      </c>
      <c r="I31">
        <v>10000</v>
      </c>
      <c r="J31">
        <v>3</v>
      </c>
      <c r="K31">
        <v>6225</v>
      </c>
      <c r="L31">
        <v>4934</v>
      </c>
      <c r="M31">
        <v>5064</v>
      </c>
      <c r="N31" t="s">
        <v>15</v>
      </c>
      <c r="P31" t="s">
        <v>16</v>
      </c>
    </row>
    <row r="32" spans="1:17" x14ac:dyDescent="0.25">
      <c r="A32" t="s">
        <v>13</v>
      </c>
      <c r="B32" t="s">
        <v>14</v>
      </c>
      <c r="C32">
        <v>0.70182396995369345</v>
      </c>
      <c r="D32">
        <v>3272704</v>
      </c>
      <c r="E32" t="s">
        <v>54</v>
      </c>
      <c r="F32" t="s">
        <v>24</v>
      </c>
      <c r="G32" t="s">
        <v>25</v>
      </c>
      <c r="H32">
        <v>500</v>
      </c>
      <c r="I32">
        <v>1000</v>
      </c>
      <c r="J32">
        <v>3</v>
      </c>
      <c r="K32">
        <v>621</v>
      </c>
      <c r="L32">
        <v>524</v>
      </c>
      <c r="M32">
        <v>475</v>
      </c>
      <c r="N32" t="s">
        <v>15</v>
      </c>
      <c r="O32">
        <v>0</v>
      </c>
      <c r="P32" t="s">
        <v>17</v>
      </c>
      <c r="Q32" s="3">
        <f>Query1[[#This Row],[program_name.test_cases.input.number_of_variables]]/H32</f>
        <v>0.95</v>
      </c>
    </row>
    <row r="33" spans="1:17" hidden="1" x14ac:dyDescent="0.25">
      <c r="A33" s="1" t="s">
        <v>13</v>
      </c>
      <c r="B33" s="1" t="s">
        <v>27</v>
      </c>
      <c r="C33" s="5">
        <v>300.0076132909744</v>
      </c>
      <c r="D33" s="3">
        <v>19271680</v>
      </c>
      <c r="E33" s="1" t="s">
        <v>59</v>
      </c>
      <c r="F33" s="1" t="s">
        <v>24</v>
      </c>
      <c r="G33" s="1" t="s">
        <v>25</v>
      </c>
      <c r="H33" s="1">
        <v>5000</v>
      </c>
      <c r="I33" s="2">
        <v>20000</v>
      </c>
      <c r="J33" s="2">
        <v>6</v>
      </c>
      <c r="K33" s="2">
        <v>12515</v>
      </c>
      <c r="L33" s="2">
        <v>4075</v>
      </c>
      <c r="M33" s="2">
        <v>15916</v>
      </c>
      <c r="N33" s="2" t="s">
        <v>15</v>
      </c>
      <c r="O33" s="1"/>
      <c r="P33" s="1" t="s">
        <v>16</v>
      </c>
      <c r="Q33" s="2">
        <f>Query1[[#This Row],[program_name.test_cases.input.number_of_variables]]/H33</f>
        <v>3.1831999999999998</v>
      </c>
    </row>
    <row r="34" spans="1:17" hidden="1" x14ac:dyDescent="0.25">
      <c r="A34" s="1" t="s">
        <v>13</v>
      </c>
      <c r="B34" s="1" t="s">
        <v>27</v>
      </c>
      <c r="C34" s="5">
        <v>0.15581524302251637</v>
      </c>
      <c r="D34" s="3">
        <v>2990080</v>
      </c>
      <c r="E34" s="1" t="s">
        <v>82</v>
      </c>
      <c r="F34" s="1" t="s">
        <v>24</v>
      </c>
      <c r="G34" s="1" t="s">
        <v>25</v>
      </c>
      <c r="H34" s="1">
        <v>200</v>
      </c>
      <c r="I34" s="2">
        <v>800</v>
      </c>
      <c r="J34" s="2">
        <v>6</v>
      </c>
      <c r="K34" s="2">
        <v>492</v>
      </c>
      <c r="L34" s="2">
        <v>634</v>
      </c>
      <c r="M34" s="2">
        <v>154</v>
      </c>
      <c r="N34" s="2" t="s">
        <v>15</v>
      </c>
      <c r="O34" s="1">
        <v>2</v>
      </c>
      <c r="P34" s="1" t="s">
        <v>18</v>
      </c>
      <c r="Q34" s="3">
        <f>Query1[[#This Row],[program_name.test_cases.input.number_of_variables]]/H34</f>
        <v>0.77</v>
      </c>
    </row>
    <row r="35" spans="1:17" hidden="1" x14ac:dyDescent="0.25">
      <c r="A35" t="s">
        <v>13</v>
      </c>
      <c r="B35" t="s">
        <v>27</v>
      </c>
      <c r="C35">
        <v>300.00803259701934</v>
      </c>
      <c r="D35">
        <v>22474752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13</v>
      </c>
      <c r="B36" t="s">
        <v>27</v>
      </c>
      <c r="C36">
        <v>300.00713142397581</v>
      </c>
      <c r="D36">
        <v>10809344</v>
      </c>
      <c r="E36" t="s">
        <v>62</v>
      </c>
      <c r="F36" t="s">
        <v>24</v>
      </c>
      <c r="G36" t="s">
        <v>25</v>
      </c>
      <c r="H36">
        <v>1000</v>
      </c>
      <c r="I36">
        <v>10000</v>
      </c>
      <c r="J36">
        <v>16</v>
      </c>
      <c r="K36">
        <v>6228</v>
      </c>
      <c r="L36">
        <v>931</v>
      </c>
      <c r="M36">
        <v>9041</v>
      </c>
      <c r="N36" t="s">
        <v>15</v>
      </c>
      <c r="P36" t="s">
        <v>16</v>
      </c>
    </row>
    <row r="37" spans="1:17" hidden="1" x14ac:dyDescent="0.25">
      <c r="A37" s="1" t="s">
        <v>13</v>
      </c>
      <c r="B37" s="1" t="s">
        <v>27</v>
      </c>
      <c r="C37" s="5">
        <v>300.00181950500701</v>
      </c>
      <c r="D37" s="3">
        <v>32628736</v>
      </c>
      <c r="E37" s="1" t="s">
        <v>63</v>
      </c>
      <c r="F37" s="1" t="s">
        <v>24</v>
      </c>
      <c r="G37" s="1" t="s">
        <v>25</v>
      </c>
      <c r="H37" s="1">
        <v>5000</v>
      </c>
      <c r="I37" s="2">
        <v>50000</v>
      </c>
      <c r="J37" s="2">
        <v>16</v>
      </c>
      <c r="K37" s="2">
        <v>31247</v>
      </c>
      <c r="L37" s="2">
        <v>45462</v>
      </c>
      <c r="M37" s="2">
        <v>4506</v>
      </c>
      <c r="N37" s="2" t="s">
        <v>15</v>
      </c>
      <c r="O37" s="1"/>
      <c r="P37" s="1" t="s">
        <v>16</v>
      </c>
      <c r="Q37" s="2">
        <f>Query1[[#This Row],[program_name.test_cases.input.number_of_variables]]/H37</f>
        <v>0.9012</v>
      </c>
    </row>
    <row r="38" spans="1:17" hidden="1" x14ac:dyDescent="0.25">
      <c r="A38" t="s">
        <v>13</v>
      </c>
      <c r="B38" t="s">
        <v>27</v>
      </c>
      <c r="C38">
        <v>0.2174892850453034</v>
      </c>
      <c r="D38">
        <v>3244032</v>
      </c>
      <c r="E38" t="s">
        <v>66</v>
      </c>
      <c r="F38" t="s">
        <v>24</v>
      </c>
      <c r="G38" t="s">
        <v>25</v>
      </c>
      <c r="H38">
        <v>200</v>
      </c>
      <c r="I38">
        <v>1000</v>
      </c>
      <c r="J38">
        <v>8</v>
      </c>
      <c r="K38">
        <v>624</v>
      </c>
      <c r="L38">
        <v>162</v>
      </c>
      <c r="M38">
        <v>831</v>
      </c>
      <c r="N38" t="s">
        <v>15</v>
      </c>
      <c r="O38">
        <v>0</v>
      </c>
      <c r="P38" t="s">
        <v>17</v>
      </c>
      <c r="Q38" s="3">
        <f>Query1[[#This Row],[program_name.test_cases.input.number_of_variables]]/H38</f>
        <v>4.1550000000000002</v>
      </c>
    </row>
    <row r="39" spans="1:17" hidden="1" x14ac:dyDescent="0.25">
      <c r="A39" t="s">
        <v>13</v>
      </c>
      <c r="B39" t="s">
        <v>27</v>
      </c>
      <c r="C39">
        <v>0.25861592497676611</v>
      </c>
      <c r="D39">
        <v>3256320</v>
      </c>
      <c r="E39" t="s">
        <v>93</v>
      </c>
      <c r="F39" t="s">
        <v>24</v>
      </c>
      <c r="G39" t="s">
        <v>25</v>
      </c>
      <c r="H39">
        <v>200</v>
      </c>
      <c r="I39">
        <v>1000</v>
      </c>
      <c r="J39">
        <v>8</v>
      </c>
      <c r="K39">
        <v>620</v>
      </c>
      <c r="L39">
        <v>825</v>
      </c>
      <c r="M39">
        <v>163</v>
      </c>
      <c r="N39" t="s">
        <v>15</v>
      </c>
      <c r="O39">
        <v>0</v>
      </c>
      <c r="P39" t="s">
        <v>17</v>
      </c>
      <c r="Q39" s="3">
        <f>Query1[[#This Row],[program_name.test_cases.input.number_of_variables]]/H39</f>
        <v>0.81499999999999995</v>
      </c>
    </row>
    <row r="40" spans="1:17" x14ac:dyDescent="0.25">
      <c r="A40" t="s">
        <v>13</v>
      </c>
      <c r="B40" t="s">
        <v>14</v>
      </c>
      <c r="C40">
        <v>0.3002178969909437</v>
      </c>
      <c r="D40">
        <v>3268608</v>
      </c>
      <c r="E40" t="s">
        <v>42</v>
      </c>
      <c r="F40" t="s">
        <v>24</v>
      </c>
      <c r="G40" t="s">
        <v>25</v>
      </c>
      <c r="H40">
        <v>200</v>
      </c>
      <c r="I40">
        <v>1000</v>
      </c>
      <c r="J40">
        <v>8</v>
      </c>
      <c r="K40">
        <v>642</v>
      </c>
      <c r="L40">
        <v>510</v>
      </c>
      <c r="M40">
        <v>482</v>
      </c>
      <c r="N40" t="s">
        <v>15</v>
      </c>
      <c r="O40">
        <v>2</v>
      </c>
      <c r="P40" t="s">
        <v>18</v>
      </c>
      <c r="Q40" s="3">
        <f>Query1[[#This Row],[program_name.test_cases.input.number_of_variables]]/H40</f>
        <v>2.41</v>
      </c>
    </row>
    <row r="41" spans="1:17" hidden="1" x14ac:dyDescent="0.25">
      <c r="A41" s="1" t="s">
        <v>13</v>
      </c>
      <c r="B41" s="1" t="s">
        <v>27</v>
      </c>
      <c r="C41" s="5">
        <v>0.65038249501958489</v>
      </c>
      <c r="D41" s="3">
        <v>3248128</v>
      </c>
      <c r="E41" s="1" t="s">
        <v>95</v>
      </c>
      <c r="F41" s="1" t="s">
        <v>24</v>
      </c>
      <c r="G41" s="1" t="s">
        <v>25</v>
      </c>
      <c r="H41" s="1">
        <v>500</v>
      </c>
      <c r="I41" s="2">
        <v>1000</v>
      </c>
      <c r="J41" s="2">
        <v>3</v>
      </c>
      <c r="K41" s="2">
        <v>619</v>
      </c>
      <c r="L41" s="2">
        <v>347</v>
      </c>
      <c r="M41" s="2">
        <v>649</v>
      </c>
      <c r="N41" s="2" t="s">
        <v>15</v>
      </c>
      <c r="O41" s="1">
        <v>2</v>
      </c>
      <c r="P41" s="1" t="s">
        <v>18</v>
      </c>
      <c r="Q41" s="3">
        <f>Query1[[#This Row],[program_name.test_cases.input.number_of_variables]]/H41</f>
        <v>1.298</v>
      </c>
    </row>
    <row r="42" spans="1:17" hidden="1" x14ac:dyDescent="0.25">
      <c r="A42" t="s">
        <v>13</v>
      </c>
      <c r="B42" t="s">
        <v>27</v>
      </c>
      <c r="C42">
        <v>300.0072406239924</v>
      </c>
      <c r="D42">
        <v>12931072</v>
      </c>
      <c r="E42" t="s">
        <v>68</v>
      </c>
      <c r="F42" t="s">
        <v>24</v>
      </c>
      <c r="G42" t="s">
        <v>25</v>
      </c>
      <c r="H42">
        <v>5000</v>
      </c>
      <c r="I42">
        <v>15000</v>
      </c>
      <c r="J42">
        <v>4</v>
      </c>
      <c r="K42">
        <v>9405</v>
      </c>
      <c r="L42">
        <v>3780</v>
      </c>
      <c r="M42">
        <v>11218</v>
      </c>
      <c r="N42" t="s">
        <v>15</v>
      </c>
      <c r="P42" t="s">
        <v>16</v>
      </c>
    </row>
    <row r="43" spans="1:17" hidden="1" x14ac:dyDescent="0.25">
      <c r="A43" s="1" t="s">
        <v>13</v>
      </c>
      <c r="B43" s="1" t="s">
        <v>27</v>
      </c>
      <c r="C43" s="5">
        <v>0.6807992480462417</v>
      </c>
      <c r="D43" s="3">
        <v>3194880</v>
      </c>
      <c r="E43" s="1" t="s">
        <v>104</v>
      </c>
      <c r="F43" s="1" t="s">
        <v>24</v>
      </c>
      <c r="G43" s="1" t="s">
        <v>25</v>
      </c>
      <c r="H43" s="1">
        <v>500</v>
      </c>
      <c r="I43" s="2">
        <v>1000</v>
      </c>
      <c r="J43" s="2">
        <v>3</v>
      </c>
      <c r="K43" s="2">
        <v>629</v>
      </c>
      <c r="L43" s="2">
        <v>640</v>
      </c>
      <c r="M43" s="2">
        <v>354</v>
      </c>
      <c r="N43" s="2" t="s">
        <v>15</v>
      </c>
      <c r="O43" s="1">
        <v>0</v>
      </c>
      <c r="P43" s="1" t="s">
        <v>17</v>
      </c>
      <c r="Q43" s="3">
        <f>Query1[[#This Row],[program_name.test_cases.input.number_of_variables]]/H43</f>
        <v>0.70799999999999996</v>
      </c>
    </row>
    <row r="44" spans="1:17" x14ac:dyDescent="0.25">
      <c r="A44" s="1" t="s">
        <v>13</v>
      </c>
      <c r="B44" s="1" t="s">
        <v>14</v>
      </c>
      <c r="C44" s="5">
        <v>0.14543599000899121</v>
      </c>
      <c r="D44" s="3">
        <v>3293184</v>
      </c>
      <c r="E44" s="1" t="s">
        <v>49</v>
      </c>
      <c r="F44" s="1" t="s">
        <v>24</v>
      </c>
      <c r="G44" s="1" t="s">
        <v>25</v>
      </c>
      <c r="H44" s="1">
        <v>100</v>
      </c>
      <c r="I44" s="2">
        <v>1000</v>
      </c>
      <c r="J44" s="2">
        <v>16</v>
      </c>
      <c r="K44" s="2">
        <v>619</v>
      </c>
      <c r="L44" s="2">
        <v>488</v>
      </c>
      <c r="M44" s="2">
        <v>493</v>
      </c>
      <c r="N44" s="2" t="s">
        <v>15</v>
      </c>
      <c r="O44" s="1">
        <v>2</v>
      </c>
      <c r="P44" s="1" t="s">
        <v>18</v>
      </c>
      <c r="Q44" s="3">
        <f>Query1[[#This Row],[program_name.test_cases.input.number_of_variables]]/H44</f>
        <v>4.93</v>
      </c>
    </row>
    <row r="45" spans="1:17" hidden="1" x14ac:dyDescent="0.25">
      <c r="A45" t="s">
        <v>13</v>
      </c>
      <c r="B45" t="s">
        <v>27</v>
      </c>
      <c r="C45">
        <v>1.1648866449831985</v>
      </c>
      <c r="D45">
        <v>3743744</v>
      </c>
      <c r="E45" t="s">
        <v>86</v>
      </c>
      <c r="F45" t="s">
        <v>24</v>
      </c>
      <c r="G45" t="s">
        <v>25</v>
      </c>
      <c r="H45">
        <v>200</v>
      </c>
      <c r="I45">
        <v>2000</v>
      </c>
      <c r="J45">
        <v>16</v>
      </c>
      <c r="K45">
        <v>1258</v>
      </c>
      <c r="L45">
        <v>1829</v>
      </c>
      <c r="M45">
        <v>153</v>
      </c>
      <c r="N45" t="s">
        <v>15</v>
      </c>
      <c r="O45">
        <v>2</v>
      </c>
      <c r="P45" t="s">
        <v>18</v>
      </c>
      <c r="Q45" s="3">
        <f>Query1[[#This Row],[program_name.test_cases.input.number_of_variables]]/H45</f>
        <v>0.76500000000000001</v>
      </c>
    </row>
    <row r="46" spans="1:17" hidden="1" x14ac:dyDescent="0.25">
      <c r="A46" t="s">
        <v>13</v>
      </c>
      <c r="B46" t="s">
        <v>27</v>
      </c>
      <c r="C46">
        <v>1.2987385379965417</v>
      </c>
      <c r="D46">
        <v>3571712</v>
      </c>
      <c r="E46" t="s">
        <v>60</v>
      </c>
      <c r="F46" t="s">
        <v>24</v>
      </c>
      <c r="G46" t="s">
        <v>25</v>
      </c>
      <c r="H46">
        <v>500</v>
      </c>
      <c r="I46">
        <v>1500</v>
      </c>
      <c r="J46">
        <v>4</v>
      </c>
      <c r="K46">
        <v>935</v>
      </c>
      <c r="L46">
        <v>365</v>
      </c>
      <c r="M46">
        <v>1134</v>
      </c>
      <c r="N46" t="s">
        <v>15</v>
      </c>
      <c r="O46">
        <v>0</v>
      </c>
      <c r="P46" t="s">
        <v>17</v>
      </c>
      <c r="Q46" s="3">
        <f>Query1[[#This Row],[program_name.test_cases.input.number_of_variables]]/H46</f>
        <v>2.2679999999999998</v>
      </c>
    </row>
    <row r="47" spans="1:17" x14ac:dyDescent="0.25">
      <c r="A47" t="s">
        <v>13</v>
      </c>
      <c r="B47" t="s">
        <v>14</v>
      </c>
      <c r="C47">
        <v>1.4936829950311219</v>
      </c>
      <c r="D47">
        <v>3543040</v>
      </c>
      <c r="E47" t="s">
        <v>55</v>
      </c>
      <c r="F47" t="s">
        <v>24</v>
      </c>
      <c r="G47" t="s">
        <v>25</v>
      </c>
      <c r="H47">
        <v>500</v>
      </c>
      <c r="I47">
        <v>1500</v>
      </c>
      <c r="J47">
        <v>4</v>
      </c>
      <c r="K47">
        <v>947</v>
      </c>
      <c r="L47">
        <v>730</v>
      </c>
      <c r="M47">
        <v>766</v>
      </c>
      <c r="N47" t="s">
        <v>15</v>
      </c>
      <c r="O47">
        <v>0</v>
      </c>
      <c r="P47" t="s">
        <v>17</v>
      </c>
      <c r="Q47" s="3">
        <f>Query1[[#This Row],[program_name.test_cases.input.number_of_variables]]/H47</f>
        <v>1.532</v>
      </c>
    </row>
    <row r="48" spans="1:17" hidden="1" x14ac:dyDescent="0.25">
      <c r="A48" t="s">
        <v>13</v>
      </c>
      <c r="B48" t="s">
        <v>27</v>
      </c>
      <c r="C48">
        <v>300.00573608197737</v>
      </c>
      <c r="D48">
        <v>6463488</v>
      </c>
      <c r="E48" t="s">
        <v>74</v>
      </c>
      <c r="F48" t="s">
        <v>24</v>
      </c>
      <c r="G48" t="s">
        <v>25</v>
      </c>
      <c r="H48">
        <v>500</v>
      </c>
      <c r="I48">
        <v>5000</v>
      </c>
      <c r="J48">
        <v>16</v>
      </c>
      <c r="K48">
        <v>3129</v>
      </c>
      <c r="L48">
        <v>491</v>
      </c>
      <c r="M48">
        <v>4478</v>
      </c>
      <c r="N48" t="s">
        <v>15</v>
      </c>
      <c r="P48" t="s">
        <v>16</v>
      </c>
    </row>
    <row r="49" spans="1:17" hidden="1" x14ac:dyDescent="0.25">
      <c r="A49" t="s">
        <v>13</v>
      </c>
      <c r="B49" t="s">
        <v>27</v>
      </c>
      <c r="C49">
        <v>1.6913995000068098</v>
      </c>
      <c r="D49">
        <v>3559424</v>
      </c>
      <c r="E49" t="s">
        <v>64</v>
      </c>
      <c r="F49" t="s">
        <v>24</v>
      </c>
      <c r="G49" t="s">
        <v>25</v>
      </c>
      <c r="H49">
        <v>500</v>
      </c>
      <c r="I49">
        <v>1500</v>
      </c>
      <c r="J49">
        <v>4</v>
      </c>
      <c r="K49">
        <v>940</v>
      </c>
      <c r="L49">
        <v>1134</v>
      </c>
      <c r="M49">
        <v>363</v>
      </c>
      <c r="N49" t="s">
        <v>15</v>
      </c>
      <c r="O49">
        <v>2</v>
      </c>
      <c r="P49" t="s">
        <v>18</v>
      </c>
      <c r="Q49" s="3">
        <f>Query1[[#This Row],[program_name.test_cases.input.number_of_variables]]/H49</f>
        <v>0.72599999999999998</v>
      </c>
    </row>
    <row r="50" spans="1:17" hidden="1" x14ac:dyDescent="0.25">
      <c r="A50" t="s">
        <v>13</v>
      </c>
      <c r="B50" t="s">
        <v>27</v>
      </c>
      <c r="C50">
        <v>300.00381613901118</v>
      </c>
      <c r="D50">
        <v>15888384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13</v>
      </c>
      <c r="B51" t="s">
        <v>27</v>
      </c>
      <c r="C51">
        <v>1.8566364360158332</v>
      </c>
      <c r="D51">
        <v>4050944</v>
      </c>
      <c r="E51" t="s">
        <v>102</v>
      </c>
      <c r="F51" t="s">
        <v>24</v>
      </c>
      <c r="G51" t="s">
        <v>25</v>
      </c>
      <c r="H51">
        <v>200</v>
      </c>
      <c r="I51">
        <v>2000</v>
      </c>
      <c r="J51">
        <v>16</v>
      </c>
      <c r="K51">
        <v>1243</v>
      </c>
      <c r="L51">
        <v>182</v>
      </c>
      <c r="M51">
        <v>1787</v>
      </c>
      <c r="N51" t="s">
        <v>15</v>
      </c>
      <c r="O51">
        <v>2</v>
      </c>
      <c r="P51" t="s">
        <v>18</v>
      </c>
      <c r="Q51" s="3">
        <f>Query1[[#This Row],[program_name.test_cases.input.number_of_variables]]/H51</f>
        <v>8.9350000000000005</v>
      </c>
    </row>
    <row r="52" spans="1:17" hidden="1" x14ac:dyDescent="0.25">
      <c r="A52" s="1" t="s">
        <v>13</v>
      </c>
      <c r="B52" s="1" t="s">
        <v>27</v>
      </c>
      <c r="C52" s="5">
        <v>2.9094761729938909</v>
      </c>
      <c r="D52" s="3">
        <v>3731456</v>
      </c>
      <c r="E52" s="1" t="s">
        <v>77</v>
      </c>
      <c r="F52" s="1" t="s">
        <v>24</v>
      </c>
      <c r="G52" s="1" t="s">
        <v>25</v>
      </c>
      <c r="H52" s="3">
        <v>500</v>
      </c>
      <c r="I52" s="3">
        <v>2000</v>
      </c>
      <c r="J52" s="3">
        <v>6</v>
      </c>
      <c r="K52" s="3">
        <v>1253</v>
      </c>
      <c r="L52" s="3">
        <v>1598</v>
      </c>
      <c r="M52" s="3">
        <v>394</v>
      </c>
      <c r="N52" s="2" t="s">
        <v>15</v>
      </c>
      <c r="O52" s="1">
        <v>0</v>
      </c>
      <c r="P52" s="1" t="s">
        <v>17</v>
      </c>
      <c r="Q52" s="3">
        <f>Query1[[#This Row],[program_name.test_cases.input.number_of_variables]]/H52</f>
        <v>0.78800000000000003</v>
      </c>
    </row>
    <row r="53" spans="1:17" x14ac:dyDescent="0.25">
      <c r="A53" s="1" t="s">
        <v>13</v>
      </c>
      <c r="B53" s="1" t="s">
        <v>14</v>
      </c>
      <c r="C53" s="5">
        <v>3.0416369649465196</v>
      </c>
      <c r="D53" s="3">
        <v>3837952</v>
      </c>
      <c r="E53" s="1" t="s">
        <v>33</v>
      </c>
      <c r="F53" s="1" t="s">
        <v>24</v>
      </c>
      <c r="G53" s="1" t="s">
        <v>25</v>
      </c>
      <c r="H53" s="1">
        <v>500</v>
      </c>
      <c r="I53" s="3">
        <v>2000</v>
      </c>
      <c r="J53" s="3">
        <v>6</v>
      </c>
      <c r="K53" s="3">
        <v>1257</v>
      </c>
      <c r="L53" s="3">
        <v>974</v>
      </c>
      <c r="M53" s="3">
        <v>1014</v>
      </c>
      <c r="N53" s="2" t="s">
        <v>15</v>
      </c>
      <c r="O53" s="1">
        <v>2</v>
      </c>
      <c r="P53" s="1" t="s">
        <v>18</v>
      </c>
      <c r="Q53" s="3">
        <f>Query1[[#This Row],[program_name.test_cases.input.number_of_variables]]/H53</f>
        <v>2.028</v>
      </c>
    </row>
    <row r="54" spans="1:17" hidden="1" x14ac:dyDescent="0.25">
      <c r="A54" s="1" t="s">
        <v>13</v>
      </c>
      <c r="B54" s="1" t="s">
        <v>27</v>
      </c>
      <c r="C54" s="5">
        <v>3.2064863319974393</v>
      </c>
      <c r="D54" s="3">
        <v>4055040</v>
      </c>
      <c r="E54" s="1" t="s">
        <v>65</v>
      </c>
      <c r="F54" s="1" t="s">
        <v>24</v>
      </c>
      <c r="G54" s="1" t="s">
        <v>25</v>
      </c>
      <c r="H54" s="1">
        <v>500</v>
      </c>
      <c r="I54" s="2">
        <v>2000</v>
      </c>
      <c r="J54" s="2">
        <v>6</v>
      </c>
      <c r="K54" s="2">
        <v>1244</v>
      </c>
      <c r="L54" s="2">
        <v>415</v>
      </c>
      <c r="M54" s="2">
        <v>1581</v>
      </c>
      <c r="N54" s="2" t="s">
        <v>15</v>
      </c>
      <c r="O54" s="1">
        <v>0</v>
      </c>
      <c r="P54" s="1" t="s">
        <v>17</v>
      </c>
      <c r="Q54" s="3">
        <f>Query1[[#This Row],[program_name.test_cases.input.number_of_variables]]/H54</f>
        <v>3.1619999999999999</v>
      </c>
    </row>
    <row r="55" spans="1:17" hidden="1" x14ac:dyDescent="0.25">
      <c r="A55" t="s">
        <v>13</v>
      </c>
      <c r="B55" t="s">
        <v>27</v>
      </c>
      <c r="C55">
        <v>300.00418092100881</v>
      </c>
      <c r="D55">
        <v>7065600</v>
      </c>
      <c r="E55" t="s">
        <v>81</v>
      </c>
      <c r="F55" t="s">
        <v>24</v>
      </c>
      <c r="G55" t="s">
        <v>25</v>
      </c>
      <c r="H55">
        <v>500</v>
      </c>
      <c r="I55">
        <v>2500</v>
      </c>
      <c r="J55">
        <v>8</v>
      </c>
      <c r="K55">
        <v>1567</v>
      </c>
      <c r="L55">
        <v>400</v>
      </c>
      <c r="M55">
        <v>2087</v>
      </c>
      <c r="N55" t="s">
        <v>15</v>
      </c>
      <c r="P55" t="s">
        <v>16</v>
      </c>
    </row>
    <row r="56" spans="1:17" x14ac:dyDescent="0.25">
      <c r="A56" s="1" t="s">
        <v>13</v>
      </c>
      <c r="B56" s="1" t="s">
        <v>14</v>
      </c>
      <c r="C56" s="5">
        <v>6.413694208022207</v>
      </c>
      <c r="D56" s="3">
        <v>4100096</v>
      </c>
      <c r="E56" s="1" t="s">
        <v>53</v>
      </c>
      <c r="F56" s="1" t="s">
        <v>24</v>
      </c>
      <c r="G56" s="1" t="s">
        <v>25</v>
      </c>
      <c r="H56" s="1">
        <v>1000</v>
      </c>
      <c r="I56" s="2">
        <v>2000</v>
      </c>
      <c r="J56" s="2">
        <v>3</v>
      </c>
      <c r="K56" s="2">
        <v>1240</v>
      </c>
      <c r="L56" s="2">
        <v>948</v>
      </c>
      <c r="M56" s="2">
        <v>1049</v>
      </c>
      <c r="N56" s="2" t="s">
        <v>15</v>
      </c>
      <c r="O56" s="1">
        <v>0</v>
      </c>
      <c r="P56" s="1" t="s">
        <v>17</v>
      </c>
      <c r="Q56" s="3">
        <f>Query1[[#This Row],[program_name.test_cases.input.number_of_variables]]/H56</f>
        <v>1.0489999999999999</v>
      </c>
    </row>
    <row r="57" spans="1:17" hidden="1" x14ac:dyDescent="0.25">
      <c r="A57" s="1" t="s">
        <v>13</v>
      </c>
      <c r="B57" s="1" t="s">
        <v>27</v>
      </c>
      <c r="C57" s="5">
        <v>5.3087012179894373</v>
      </c>
      <c r="D57" s="3">
        <v>4300800</v>
      </c>
      <c r="E57" s="1" t="s">
        <v>113</v>
      </c>
      <c r="F57" s="1" t="s">
        <v>24</v>
      </c>
      <c r="G57" s="1" t="s">
        <v>25</v>
      </c>
      <c r="H57" s="1">
        <v>500</v>
      </c>
      <c r="I57" s="2">
        <v>2500</v>
      </c>
      <c r="J57" s="2">
        <v>8</v>
      </c>
      <c r="K57" s="2">
        <v>1580</v>
      </c>
      <c r="L57" s="2">
        <v>2067</v>
      </c>
      <c r="M57" s="2">
        <v>423</v>
      </c>
      <c r="N57" s="2" t="s">
        <v>15</v>
      </c>
      <c r="O57" s="1">
        <v>2</v>
      </c>
      <c r="P57" s="1" t="s">
        <v>18</v>
      </c>
      <c r="Q57" s="3">
        <f>Query1[[#This Row],[program_name.test_cases.input.number_of_variables]]/H57</f>
        <v>0.84599999999999997</v>
      </c>
    </row>
    <row r="58" spans="1:17" hidden="1" x14ac:dyDescent="0.25">
      <c r="A58" t="s">
        <v>13</v>
      </c>
      <c r="B58" t="s">
        <v>27</v>
      </c>
      <c r="C58">
        <v>300.00012847402832</v>
      </c>
      <c r="D58">
        <v>3534848</v>
      </c>
      <c r="E58" t="s">
        <v>84</v>
      </c>
      <c r="F58" t="s">
        <v>24</v>
      </c>
      <c r="G58" t="s">
        <v>25</v>
      </c>
      <c r="H58">
        <v>100</v>
      </c>
      <c r="I58">
        <v>1000</v>
      </c>
      <c r="J58">
        <v>16</v>
      </c>
      <c r="K58">
        <v>617</v>
      </c>
      <c r="L58">
        <v>82</v>
      </c>
      <c r="M58">
        <v>897</v>
      </c>
      <c r="N58" t="s">
        <v>15</v>
      </c>
      <c r="P58" t="s">
        <v>16</v>
      </c>
    </row>
    <row r="59" spans="1:17" x14ac:dyDescent="0.25">
      <c r="A59" s="1" t="s">
        <v>13</v>
      </c>
      <c r="B59" s="1" t="s">
        <v>14</v>
      </c>
      <c r="C59" s="5">
        <v>4.8539105160161853</v>
      </c>
      <c r="D59" s="3">
        <v>4362240</v>
      </c>
      <c r="E59" s="1" t="s">
        <v>40</v>
      </c>
      <c r="F59" s="1" t="s">
        <v>24</v>
      </c>
      <c r="G59" s="1" t="s">
        <v>25</v>
      </c>
      <c r="H59" s="1">
        <v>500</v>
      </c>
      <c r="I59" s="2">
        <v>2500</v>
      </c>
      <c r="J59" s="2">
        <v>8</v>
      </c>
      <c r="K59" s="2">
        <v>1542</v>
      </c>
      <c r="L59" s="2">
        <v>1214</v>
      </c>
      <c r="M59" s="2">
        <v>1272</v>
      </c>
      <c r="N59" s="2" t="s">
        <v>15</v>
      </c>
      <c r="O59" s="1">
        <v>0</v>
      </c>
      <c r="P59" s="1" t="s">
        <v>17</v>
      </c>
      <c r="Q59" s="3">
        <f>Query1[[#This Row],[program_name.test_cases.input.number_of_variables]]/H59</f>
        <v>2.544</v>
      </c>
    </row>
    <row r="60" spans="1:17" hidden="1" x14ac:dyDescent="0.25">
      <c r="A60" t="s">
        <v>13</v>
      </c>
      <c r="B60" t="s">
        <v>27</v>
      </c>
      <c r="C60">
        <v>6.8757658689864911</v>
      </c>
      <c r="D60">
        <v>4288512</v>
      </c>
      <c r="E60" t="s">
        <v>106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1276</v>
      </c>
      <c r="L60">
        <v>667</v>
      </c>
      <c r="M60">
        <v>1332</v>
      </c>
      <c r="N60" t="s">
        <v>15</v>
      </c>
      <c r="O60">
        <v>2</v>
      </c>
      <c r="P60" t="s">
        <v>18</v>
      </c>
      <c r="Q60" s="3">
        <f>Query1[[#This Row],[program_name.test_cases.input.number_of_variables]]/H60</f>
        <v>1.3320000000000001</v>
      </c>
    </row>
    <row r="61" spans="1:17" hidden="1" x14ac:dyDescent="0.25">
      <c r="A61" t="s">
        <v>13</v>
      </c>
      <c r="B61" t="s">
        <v>27</v>
      </c>
      <c r="C61">
        <v>7.2987805180018768</v>
      </c>
      <c r="D61">
        <v>4009984</v>
      </c>
      <c r="E61" t="s">
        <v>94</v>
      </c>
      <c r="F61" t="s">
        <v>24</v>
      </c>
      <c r="G61" t="s">
        <v>25</v>
      </c>
      <c r="H61">
        <v>1000</v>
      </c>
      <c r="I61">
        <v>2000</v>
      </c>
      <c r="J61">
        <v>3</v>
      </c>
      <c r="K61">
        <v>1273</v>
      </c>
      <c r="L61">
        <v>1346</v>
      </c>
      <c r="M61">
        <v>653</v>
      </c>
      <c r="N61" t="s">
        <v>15</v>
      </c>
      <c r="O61">
        <v>0</v>
      </c>
      <c r="P61" t="s">
        <v>17</v>
      </c>
      <c r="Q61" s="3">
        <f>Query1[[#This Row],[program_name.test_cases.input.number_of_variables]]/H61</f>
        <v>0.65300000000000002</v>
      </c>
    </row>
    <row r="62" spans="1:17" hidden="1" x14ac:dyDescent="0.25">
      <c r="A62" t="s">
        <v>13</v>
      </c>
      <c r="B62" t="s">
        <v>27</v>
      </c>
      <c r="C62">
        <v>13.190538382972591</v>
      </c>
      <c r="D62">
        <v>4567040</v>
      </c>
      <c r="E62" t="s">
        <v>58</v>
      </c>
      <c r="F62" t="s">
        <v>24</v>
      </c>
      <c r="G62" t="s">
        <v>25</v>
      </c>
      <c r="H62">
        <v>1000</v>
      </c>
      <c r="I62">
        <v>3000</v>
      </c>
      <c r="J62">
        <v>4</v>
      </c>
      <c r="K62">
        <v>1895</v>
      </c>
      <c r="L62">
        <v>763</v>
      </c>
      <c r="M62">
        <v>2230</v>
      </c>
      <c r="N62" t="s">
        <v>15</v>
      </c>
      <c r="O62">
        <v>0</v>
      </c>
      <c r="P62" t="s">
        <v>17</v>
      </c>
      <c r="Q62" s="3">
        <f>Query1[[#This Row],[program_name.test_cases.input.number_of_variables]]/H62</f>
        <v>2.23</v>
      </c>
    </row>
    <row r="63" spans="1:17" hidden="1" x14ac:dyDescent="0.25">
      <c r="A63" s="1" t="s">
        <v>13</v>
      </c>
      <c r="B63" s="1" t="s">
        <v>27</v>
      </c>
      <c r="C63" s="5">
        <v>300.00356736197136</v>
      </c>
      <c r="D63" s="3">
        <v>32555008</v>
      </c>
      <c r="E63" s="1" t="s">
        <v>89</v>
      </c>
      <c r="F63" s="1" t="s">
        <v>24</v>
      </c>
      <c r="G63" s="1" t="s">
        <v>25</v>
      </c>
      <c r="H63" s="1">
        <v>5000</v>
      </c>
      <c r="I63" s="2">
        <v>50000</v>
      </c>
      <c r="J63" s="2">
        <v>16</v>
      </c>
      <c r="K63" s="2">
        <v>31172</v>
      </c>
      <c r="L63" s="2">
        <v>4616</v>
      </c>
      <c r="M63" s="2">
        <v>45331</v>
      </c>
      <c r="N63" s="2" t="s">
        <v>15</v>
      </c>
      <c r="O63" s="1"/>
      <c r="P63" s="1" t="s">
        <v>16</v>
      </c>
      <c r="Q63" s="2"/>
    </row>
    <row r="64" spans="1:17" x14ac:dyDescent="0.25">
      <c r="A64" s="1" t="s">
        <v>13</v>
      </c>
      <c r="B64" s="1" t="s">
        <v>14</v>
      </c>
      <c r="C64" s="5">
        <v>13.829431433987338</v>
      </c>
      <c r="D64" s="3">
        <v>4898816</v>
      </c>
      <c r="E64" s="1" t="s">
        <v>31</v>
      </c>
      <c r="F64" s="1" t="s">
        <v>24</v>
      </c>
      <c r="G64" s="1" t="s">
        <v>25</v>
      </c>
      <c r="H64" s="1">
        <v>1000</v>
      </c>
      <c r="I64" s="2">
        <v>3000</v>
      </c>
      <c r="J64" s="2">
        <v>4</v>
      </c>
      <c r="K64" s="2">
        <v>1853</v>
      </c>
      <c r="L64" s="2">
        <v>1501</v>
      </c>
      <c r="M64" s="2">
        <v>1493</v>
      </c>
      <c r="N64" s="2" t="s">
        <v>15</v>
      </c>
      <c r="O64" s="1">
        <v>0</v>
      </c>
      <c r="P64" s="1" t="s">
        <v>17</v>
      </c>
      <c r="Q64" s="3">
        <f>Query1[[#This Row],[program_name.test_cases.input.number_of_variables]]/H64</f>
        <v>1.4930000000000001</v>
      </c>
    </row>
    <row r="65" spans="1:17" hidden="1" x14ac:dyDescent="0.25">
      <c r="A65" t="s">
        <v>13</v>
      </c>
      <c r="B65" t="s">
        <v>27</v>
      </c>
      <c r="C65">
        <v>299.9994711719919</v>
      </c>
      <c r="D65">
        <v>17735680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s="1" t="s">
        <v>13</v>
      </c>
      <c r="B66" s="1" t="s">
        <v>27</v>
      </c>
      <c r="C66" s="5">
        <v>300.00627186801285</v>
      </c>
      <c r="D66" s="3">
        <v>9076736</v>
      </c>
      <c r="E66" s="1" t="s">
        <v>92</v>
      </c>
      <c r="F66" s="1" t="s">
        <v>24</v>
      </c>
      <c r="G66" s="1" t="s">
        <v>25</v>
      </c>
      <c r="H66" s="1">
        <v>2500</v>
      </c>
      <c r="I66" s="2">
        <v>10000</v>
      </c>
      <c r="J66" s="2">
        <v>6</v>
      </c>
      <c r="K66" s="2">
        <v>6294</v>
      </c>
      <c r="L66" s="2">
        <v>8013</v>
      </c>
      <c r="M66" s="2">
        <v>1975</v>
      </c>
      <c r="N66" s="2" t="s">
        <v>15</v>
      </c>
      <c r="O66" s="1"/>
      <c r="P66" s="1" t="s">
        <v>16</v>
      </c>
      <c r="Q66" s="2">
        <f>Query1[[#This Row],[program_name.test_cases.input.number_of_variables]]/H66</f>
        <v>0.79</v>
      </c>
    </row>
    <row r="67" spans="1:17" hidden="1" x14ac:dyDescent="0.25">
      <c r="A67" t="s">
        <v>13</v>
      </c>
      <c r="B67" t="s">
        <v>27</v>
      </c>
      <c r="C67">
        <v>15.698279021016788</v>
      </c>
      <c r="D67">
        <v>4853760</v>
      </c>
      <c r="E67" t="s">
        <v>69</v>
      </c>
      <c r="F67" t="s">
        <v>24</v>
      </c>
      <c r="G67" t="s">
        <v>25</v>
      </c>
      <c r="H67">
        <v>1000</v>
      </c>
      <c r="I67">
        <v>3000</v>
      </c>
      <c r="J67">
        <v>4</v>
      </c>
      <c r="K67">
        <v>1869</v>
      </c>
      <c r="L67">
        <v>2266</v>
      </c>
      <c r="M67">
        <v>732</v>
      </c>
      <c r="N67" t="s">
        <v>15</v>
      </c>
      <c r="O67">
        <v>0</v>
      </c>
      <c r="P67" t="s">
        <v>17</v>
      </c>
      <c r="Q67" s="3">
        <f>Query1[[#This Row],[program_name.test_cases.input.number_of_variables]]/H67</f>
        <v>0.73199999999999998</v>
      </c>
    </row>
    <row r="68" spans="1:17" hidden="1" x14ac:dyDescent="0.25">
      <c r="A68" t="s">
        <v>13</v>
      </c>
      <c r="B68" t="s">
        <v>27</v>
      </c>
      <c r="C68">
        <v>23.741120821970981</v>
      </c>
      <c r="D68">
        <v>5640192</v>
      </c>
      <c r="E68" t="s">
        <v>72</v>
      </c>
      <c r="F68" t="s">
        <v>24</v>
      </c>
      <c r="G68" t="s">
        <v>25</v>
      </c>
      <c r="H68">
        <v>1000</v>
      </c>
      <c r="I68">
        <v>4000</v>
      </c>
      <c r="J68">
        <v>6</v>
      </c>
      <c r="K68">
        <v>2498</v>
      </c>
      <c r="L68">
        <v>836</v>
      </c>
      <c r="M68">
        <v>3155</v>
      </c>
      <c r="N68" t="s">
        <v>15</v>
      </c>
      <c r="O68">
        <v>2</v>
      </c>
      <c r="P68" t="s">
        <v>18</v>
      </c>
      <c r="Q68" s="3">
        <f>Query1[[#This Row],[program_name.test_cases.input.number_of_variables]]/H68</f>
        <v>3.1549999999999998</v>
      </c>
    </row>
    <row r="69" spans="1:17" hidden="1" x14ac:dyDescent="0.25">
      <c r="A69" t="s">
        <v>13</v>
      </c>
      <c r="B69" t="s">
        <v>27</v>
      </c>
      <c r="C69">
        <v>24.852263525011949</v>
      </c>
      <c r="D69">
        <v>5943296</v>
      </c>
      <c r="E69" t="s">
        <v>109</v>
      </c>
      <c r="F69" t="s">
        <v>24</v>
      </c>
      <c r="G69" t="s">
        <v>25</v>
      </c>
      <c r="H69">
        <v>500</v>
      </c>
      <c r="I69">
        <v>5000</v>
      </c>
      <c r="J69">
        <v>16</v>
      </c>
      <c r="K69">
        <v>3145</v>
      </c>
      <c r="L69">
        <v>4522</v>
      </c>
      <c r="M69">
        <v>447</v>
      </c>
      <c r="N69" t="s">
        <v>15</v>
      </c>
      <c r="O69">
        <v>2</v>
      </c>
      <c r="P69" t="s">
        <v>18</v>
      </c>
      <c r="Q69" s="3">
        <f>Query1[[#This Row],[program_name.test_cases.input.number_of_variables]]/H69</f>
        <v>0.89400000000000002</v>
      </c>
    </row>
    <row r="70" spans="1:17" hidden="1" x14ac:dyDescent="0.25">
      <c r="A70" t="s">
        <v>13</v>
      </c>
      <c r="B70" t="s">
        <v>27</v>
      </c>
      <c r="C70">
        <v>300.00124824902741</v>
      </c>
      <c r="D70">
        <v>10555392</v>
      </c>
      <c r="E70" t="s">
        <v>96</v>
      </c>
      <c r="F70" t="s">
        <v>24</v>
      </c>
      <c r="G70" t="s">
        <v>25</v>
      </c>
      <c r="H70">
        <v>2500</v>
      </c>
      <c r="I70">
        <v>12500</v>
      </c>
      <c r="J70">
        <v>8</v>
      </c>
      <c r="K70">
        <v>7770</v>
      </c>
      <c r="L70">
        <v>10380</v>
      </c>
      <c r="M70">
        <v>2100</v>
      </c>
      <c r="N70" t="s">
        <v>15</v>
      </c>
      <c r="P70" t="s">
        <v>16</v>
      </c>
    </row>
    <row r="71" spans="1:17" hidden="1" x14ac:dyDescent="0.25">
      <c r="A71" s="1" t="s">
        <v>13</v>
      </c>
      <c r="B71" s="1" t="s">
        <v>27</v>
      </c>
      <c r="C71" s="5">
        <v>26.531098607985768</v>
      </c>
      <c r="D71" s="3">
        <v>5423104</v>
      </c>
      <c r="E71" s="1" t="s">
        <v>71</v>
      </c>
      <c r="F71" s="1" t="s">
        <v>24</v>
      </c>
      <c r="G71" s="1" t="s">
        <v>25</v>
      </c>
      <c r="H71" s="3">
        <v>1000</v>
      </c>
      <c r="I71" s="3">
        <v>4000</v>
      </c>
      <c r="J71" s="3">
        <v>6</v>
      </c>
      <c r="K71" s="3">
        <v>2482</v>
      </c>
      <c r="L71" s="3">
        <v>3172</v>
      </c>
      <c r="M71" s="3">
        <v>818</v>
      </c>
      <c r="N71" s="2" t="s">
        <v>15</v>
      </c>
      <c r="O71" s="1">
        <v>0</v>
      </c>
      <c r="P71" s="1" t="s">
        <v>17</v>
      </c>
      <c r="Q71" s="3">
        <f>Query1[[#This Row],[program_name.test_cases.input.number_of_variables]]/H71</f>
        <v>0.81799999999999995</v>
      </c>
    </row>
    <row r="72" spans="1:17" x14ac:dyDescent="0.25">
      <c r="A72" t="s">
        <v>13</v>
      </c>
      <c r="B72" t="s">
        <v>14</v>
      </c>
      <c r="C72">
        <v>29.267017912992745</v>
      </c>
      <c r="D72">
        <v>5414912</v>
      </c>
      <c r="E72" t="s">
        <v>30</v>
      </c>
      <c r="F72" t="s">
        <v>24</v>
      </c>
      <c r="G72" t="s">
        <v>25</v>
      </c>
      <c r="H72">
        <v>1000</v>
      </c>
      <c r="I72">
        <v>4000</v>
      </c>
      <c r="J72">
        <v>6</v>
      </c>
      <c r="K72">
        <v>2507</v>
      </c>
      <c r="L72">
        <v>2032</v>
      </c>
      <c r="M72">
        <v>1960</v>
      </c>
      <c r="N72" t="s">
        <v>15</v>
      </c>
      <c r="O72">
        <v>2</v>
      </c>
      <c r="P72" t="s">
        <v>18</v>
      </c>
      <c r="Q72" s="3">
        <f>Query1[[#This Row],[program_name.test_cases.input.number_of_variables]]/H72</f>
        <v>1.96</v>
      </c>
    </row>
    <row r="73" spans="1:17" x14ac:dyDescent="0.25">
      <c r="A73" t="s">
        <v>13</v>
      </c>
      <c r="B73" t="s">
        <v>14</v>
      </c>
      <c r="C73">
        <v>43.739428009022959</v>
      </c>
      <c r="D73">
        <v>6221824</v>
      </c>
      <c r="E73" t="s">
        <v>52</v>
      </c>
      <c r="F73" t="s">
        <v>24</v>
      </c>
      <c r="G73" t="s">
        <v>25</v>
      </c>
      <c r="H73">
        <v>1000</v>
      </c>
      <c r="I73">
        <v>5000</v>
      </c>
      <c r="J73">
        <v>8</v>
      </c>
      <c r="K73">
        <v>3066</v>
      </c>
      <c r="L73">
        <v>2538</v>
      </c>
      <c r="M73">
        <v>2451</v>
      </c>
      <c r="N73" t="s">
        <v>15</v>
      </c>
      <c r="O73">
        <v>2</v>
      </c>
      <c r="P73" t="s">
        <v>18</v>
      </c>
      <c r="Q73" s="3">
        <f>Query1[[#This Row],[program_name.test_cases.input.number_of_variables]]/H73</f>
        <v>2.4510000000000001</v>
      </c>
    </row>
    <row r="74" spans="1:17" x14ac:dyDescent="0.25">
      <c r="A74" t="s">
        <v>13</v>
      </c>
      <c r="B74" t="s">
        <v>14</v>
      </c>
      <c r="C74">
        <v>139.66695792996325</v>
      </c>
      <c r="D74">
        <v>6365184</v>
      </c>
      <c r="E74" t="s">
        <v>39</v>
      </c>
      <c r="F74" t="s">
        <v>24</v>
      </c>
      <c r="G74" t="s">
        <v>25</v>
      </c>
      <c r="H74">
        <v>2500</v>
      </c>
      <c r="I74">
        <v>5000</v>
      </c>
      <c r="J74">
        <v>3</v>
      </c>
      <c r="K74">
        <v>3123</v>
      </c>
      <c r="L74">
        <v>2538</v>
      </c>
      <c r="M74">
        <v>2460</v>
      </c>
      <c r="N74" t="s">
        <v>15</v>
      </c>
      <c r="O74">
        <v>0</v>
      </c>
      <c r="P74" t="s">
        <v>17</v>
      </c>
      <c r="Q74" s="3">
        <f>Query1[[#This Row],[program_name.test_cases.input.number_of_variables]]/H74</f>
        <v>0.98399999999999999</v>
      </c>
    </row>
    <row r="75" spans="1:17" hidden="1" x14ac:dyDescent="0.25">
      <c r="A75" t="s">
        <v>13</v>
      </c>
      <c r="B75" t="s">
        <v>27</v>
      </c>
      <c r="C75">
        <v>300.00193697499344</v>
      </c>
      <c r="D75">
        <v>7806976</v>
      </c>
      <c r="E75" t="s">
        <v>101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4690</v>
      </c>
      <c r="L75">
        <v>5598</v>
      </c>
      <c r="M75">
        <v>1893</v>
      </c>
      <c r="N75" t="s">
        <v>15</v>
      </c>
      <c r="P75" t="s">
        <v>16</v>
      </c>
    </row>
    <row r="76" spans="1:17" hidden="1" x14ac:dyDescent="0.25">
      <c r="A76" t="s">
        <v>13</v>
      </c>
      <c r="B76" t="s">
        <v>27</v>
      </c>
      <c r="C76">
        <v>48.231751310988329</v>
      </c>
      <c r="D76">
        <v>5931008</v>
      </c>
      <c r="E76" t="s">
        <v>80</v>
      </c>
      <c r="F76" t="s">
        <v>24</v>
      </c>
      <c r="G76" t="s">
        <v>25</v>
      </c>
      <c r="H76">
        <v>1000</v>
      </c>
      <c r="I76">
        <v>5000</v>
      </c>
      <c r="J76">
        <v>8</v>
      </c>
      <c r="K76">
        <v>3122</v>
      </c>
      <c r="L76">
        <v>4156</v>
      </c>
      <c r="M76">
        <v>834</v>
      </c>
      <c r="N76" t="s">
        <v>15</v>
      </c>
      <c r="O76">
        <v>2</v>
      </c>
      <c r="P76" t="s">
        <v>18</v>
      </c>
      <c r="Q76" s="3">
        <f>Query1[[#This Row],[program_name.test_cases.input.number_of_variables]]/H76</f>
        <v>0.83399999999999996</v>
      </c>
    </row>
    <row r="77" spans="1:17" hidden="1" x14ac:dyDescent="0.25">
      <c r="A77" t="s">
        <v>13</v>
      </c>
      <c r="B77" t="s">
        <v>27</v>
      </c>
      <c r="C77">
        <v>300.00024243001826</v>
      </c>
      <c r="D77">
        <v>18776064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s="1" t="s">
        <v>13</v>
      </c>
      <c r="B78" s="1" t="s">
        <v>27</v>
      </c>
      <c r="C78" s="5">
        <v>59.843705540988594</v>
      </c>
      <c r="D78" s="3">
        <v>6426624</v>
      </c>
      <c r="E78" s="1" t="s">
        <v>115</v>
      </c>
      <c r="F78" s="1" t="s">
        <v>24</v>
      </c>
      <c r="G78" s="1" t="s">
        <v>25</v>
      </c>
      <c r="H78" s="1">
        <v>1000</v>
      </c>
      <c r="I78" s="2">
        <v>5000</v>
      </c>
      <c r="J78" s="2">
        <v>8</v>
      </c>
      <c r="K78" s="2">
        <v>3118</v>
      </c>
      <c r="L78" s="2">
        <v>834</v>
      </c>
      <c r="M78" s="2">
        <v>4154</v>
      </c>
      <c r="N78" s="2" t="s">
        <v>15</v>
      </c>
      <c r="O78" s="1">
        <v>0</v>
      </c>
      <c r="P78" s="1" t="s">
        <v>17</v>
      </c>
      <c r="Q78" s="3">
        <f>Query1[[#This Row],[program_name.test_cases.input.number_of_variables]]/H78</f>
        <v>4.1539999999999999</v>
      </c>
    </row>
    <row r="79" spans="1:17" hidden="1" x14ac:dyDescent="0.25">
      <c r="A79" s="1" t="s">
        <v>13</v>
      </c>
      <c r="B79" s="1" t="s">
        <v>27</v>
      </c>
      <c r="C79" s="5">
        <v>136.1201053870027</v>
      </c>
      <c r="D79" s="3">
        <v>6389760</v>
      </c>
      <c r="E79" s="1" t="s">
        <v>90</v>
      </c>
      <c r="F79" s="1" t="s">
        <v>24</v>
      </c>
      <c r="G79" s="1" t="s">
        <v>25</v>
      </c>
      <c r="H79" s="1">
        <v>2500</v>
      </c>
      <c r="I79" s="2">
        <v>5000</v>
      </c>
      <c r="J79" s="2">
        <v>3</v>
      </c>
      <c r="K79" s="2">
        <v>3172</v>
      </c>
      <c r="L79" s="2">
        <v>1664</v>
      </c>
      <c r="M79" s="2">
        <v>3333</v>
      </c>
      <c r="N79" s="2" t="s">
        <v>15</v>
      </c>
      <c r="O79" s="1">
        <v>2</v>
      </c>
      <c r="P79" s="1" t="s">
        <v>18</v>
      </c>
      <c r="Q79" s="3">
        <f>Query1[[#This Row],[program_name.test_cases.input.number_of_variables]]/H79</f>
        <v>1.3331999999999999</v>
      </c>
    </row>
    <row r="80" spans="1:17" x14ac:dyDescent="0.25">
      <c r="A80" s="1" t="s">
        <v>13</v>
      </c>
      <c r="B80" s="1" t="s">
        <v>14</v>
      </c>
      <c r="C80" s="5">
        <v>26.539349348982796</v>
      </c>
      <c r="D80" s="3">
        <v>6160384</v>
      </c>
      <c r="E80" s="1" t="s">
        <v>56</v>
      </c>
      <c r="F80" s="1" t="s">
        <v>24</v>
      </c>
      <c r="G80" s="1" t="s">
        <v>25</v>
      </c>
      <c r="H80" s="1">
        <v>500</v>
      </c>
      <c r="I80" s="2">
        <v>5000</v>
      </c>
      <c r="J80" s="2">
        <v>16</v>
      </c>
      <c r="K80" s="2">
        <v>3130</v>
      </c>
      <c r="L80" s="2">
        <v>2489</v>
      </c>
      <c r="M80" s="2">
        <v>2479</v>
      </c>
      <c r="N80" s="2" t="s">
        <v>15</v>
      </c>
      <c r="O80" s="1">
        <v>2</v>
      </c>
      <c r="P80" s="1" t="s">
        <v>18</v>
      </c>
      <c r="Q80" s="3">
        <f>Query1[[#This Row],[program_name.test_cases.input.number_of_variables]]/H80</f>
        <v>4.9580000000000002</v>
      </c>
    </row>
    <row r="81" spans="1:17" hidden="1" x14ac:dyDescent="0.25">
      <c r="A81" s="1" t="s">
        <v>13</v>
      </c>
      <c r="B81" s="1" t="s">
        <v>27</v>
      </c>
      <c r="C81" s="5">
        <v>300.00013261398999</v>
      </c>
      <c r="D81" s="3">
        <v>10002432</v>
      </c>
      <c r="E81" s="1" t="s">
        <v>107</v>
      </c>
      <c r="F81" s="1" t="s">
        <v>24</v>
      </c>
      <c r="G81" s="1" t="s">
        <v>25</v>
      </c>
      <c r="H81" s="1">
        <v>5000</v>
      </c>
      <c r="I81" s="2">
        <v>10000</v>
      </c>
      <c r="J81" s="2">
        <v>3</v>
      </c>
      <c r="K81" s="2">
        <v>6251</v>
      </c>
      <c r="L81" s="2">
        <v>6615</v>
      </c>
      <c r="M81" s="2">
        <v>3383</v>
      </c>
      <c r="N81" s="2" t="s">
        <v>15</v>
      </c>
      <c r="O81" s="1"/>
      <c r="P81" s="1" t="s">
        <v>16</v>
      </c>
      <c r="Q81" s="2">
        <f>Query1[[#This Row],[program_name.test_cases.input.number_of_variables]]/H81</f>
        <v>0.67659999999999998</v>
      </c>
    </row>
    <row r="82" spans="1:17" hidden="1" x14ac:dyDescent="0.25">
      <c r="A82" t="s">
        <v>13</v>
      </c>
      <c r="B82" t="s">
        <v>27</v>
      </c>
      <c r="C82">
        <v>141.18269220803631</v>
      </c>
      <c r="D82">
        <v>6508544</v>
      </c>
      <c r="E82" t="s">
        <v>73</v>
      </c>
      <c r="F82" t="s">
        <v>24</v>
      </c>
      <c r="G82" t="s">
        <v>25</v>
      </c>
      <c r="H82">
        <v>2500</v>
      </c>
      <c r="I82">
        <v>5000</v>
      </c>
      <c r="J82">
        <v>3</v>
      </c>
      <c r="K82">
        <v>3090</v>
      </c>
      <c r="L82">
        <v>3332</v>
      </c>
      <c r="M82">
        <v>1664</v>
      </c>
      <c r="N82" t="s">
        <v>15</v>
      </c>
      <c r="O82">
        <v>2</v>
      </c>
      <c r="P82" t="s">
        <v>18</v>
      </c>
      <c r="Q82" s="3">
        <f>Query1[[#This Row],[program_name.test_cases.input.number_of_variables]]/H82</f>
        <v>0.66559999999999997</v>
      </c>
    </row>
    <row r="83" spans="1:17" hidden="1" x14ac:dyDescent="0.25">
      <c r="A83" t="s">
        <v>13</v>
      </c>
      <c r="B83" t="s">
        <v>27</v>
      </c>
      <c r="C83">
        <v>211.94601863500429</v>
      </c>
      <c r="D83">
        <v>8880128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2</v>
      </c>
      <c r="P83" t="s">
        <v>18</v>
      </c>
      <c r="Q83" s="3">
        <f>Query1[[#This Row],[program_name.test_cases.input.number_of_variables]]/H83</f>
        <v>0.90800000000000003</v>
      </c>
    </row>
    <row r="84" spans="1:17" hidden="1" x14ac:dyDescent="0.25">
      <c r="A84" t="s">
        <v>13</v>
      </c>
      <c r="B84" t="s">
        <v>27</v>
      </c>
      <c r="C84">
        <v>300.00684388098307</v>
      </c>
      <c r="D84">
        <v>9392128</v>
      </c>
      <c r="E84" t="s">
        <v>110</v>
      </c>
      <c r="F84" t="s">
        <v>24</v>
      </c>
      <c r="G84" t="s">
        <v>25</v>
      </c>
      <c r="H84">
        <v>2500</v>
      </c>
      <c r="I84">
        <v>10000</v>
      </c>
      <c r="J84">
        <v>6</v>
      </c>
      <c r="K84">
        <v>6276</v>
      </c>
      <c r="L84">
        <v>1998</v>
      </c>
      <c r="M84">
        <v>7992</v>
      </c>
      <c r="N84" t="s">
        <v>15</v>
      </c>
      <c r="P84" t="s">
        <v>16</v>
      </c>
    </row>
    <row r="85" spans="1:17" x14ac:dyDescent="0.25">
      <c r="A85" t="s">
        <v>13</v>
      </c>
      <c r="B85" t="s">
        <v>14</v>
      </c>
      <c r="C85">
        <v>265.69005256699165</v>
      </c>
      <c r="D85">
        <v>8151040</v>
      </c>
      <c r="E85" t="s">
        <v>44</v>
      </c>
      <c r="F85" t="s">
        <v>24</v>
      </c>
      <c r="G85" t="s">
        <v>25</v>
      </c>
      <c r="H85">
        <v>2500</v>
      </c>
      <c r="I85">
        <v>7500</v>
      </c>
      <c r="J85">
        <v>4</v>
      </c>
      <c r="K85">
        <v>4653</v>
      </c>
      <c r="L85">
        <v>3774</v>
      </c>
      <c r="M85">
        <v>3720</v>
      </c>
      <c r="N85" t="s">
        <v>15</v>
      </c>
      <c r="O85">
        <v>0</v>
      </c>
      <c r="P85" t="s">
        <v>17</v>
      </c>
      <c r="Q85" s="3">
        <f>Query1[[#This Row],[program_name.test_cases.input.number_of_variables]]/H85</f>
        <v>1.488</v>
      </c>
    </row>
    <row r="86" spans="1:17" hidden="1" x14ac:dyDescent="0.25">
      <c r="A86" t="s">
        <v>13</v>
      </c>
      <c r="B86" t="s">
        <v>27</v>
      </c>
      <c r="C86">
        <v>300.00670870195609</v>
      </c>
      <c r="D86">
        <v>10743808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P86" t="s">
        <v>16</v>
      </c>
    </row>
    <row r="87" spans="1:17" hidden="1" x14ac:dyDescent="0.25">
      <c r="A87" t="s">
        <v>13</v>
      </c>
      <c r="B87" t="s">
        <v>27</v>
      </c>
      <c r="C87">
        <v>254.70716816600179</v>
      </c>
      <c r="D87">
        <v>8110080</v>
      </c>
      <c r="E87" t="s">
        <v>97</v>
      </c>
      <c r="F87" t="s">
        <v>24</v>
      </c>
      <c r="G87" t="s">
        <v>25</v>
      </c>
      <c r="H87">
        <v>2500</v>
      </c>
      <c r="I87">
        <v>7500</v>
      </c>
      <c r="J87">
        <v>4</v>
      </c>
      <c r="K87">
        <v>4713</v>
      </c>
      <c r="L87">
        <v>1893</v>
      </c>
      <c r="M87">
        <v>5603</v>
      </c>
      <c r="N87" t="s">
        <v>15</v>
      </c>
      <c r="O87">
        <v>0</v>
      </c>
      <c r="P87" t="s">
        <v>17</v>
      </c>
      <c r="Q87" s="3">
        <f>Query1[[#This Row],[program_name.test_cases.input.number_of_variables]]/H87</f>
        <v>2.2412000000000001</v>
      </c>
    </row>
    <row r="88" spans="1:17" hidden="1" x14ac:dyDescent="0.25">
      <c r="A88" t="s">
        <v>13</v>
      </c>
      <c r="B88" t="s">
        <v>27</v>
      </c>
      <c r="C88">
        <v>300.00284531700891</v>
      </c>
      <c r="D88">
        <v>18591744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t="s">
        <v>13</v>
      </c>
      <c r="B89" t="s">
        <v>14</v>
      </c>
      <c r="C89">
        <v>242.35224190796723</v>
      </c>
      <c r="D89">
        <v>9142272</v>
      </c>
      <c r="E89" t="s">
        <v>29</v>
      </c>
      <c r="F89" t="s">
        <v>24</v>
      </c>
      <c r="G89" t="s">
        <v>25</v>
      </c>
      <c r="H89">
        <v>1000</v>
      </c>
      <c r="I89">
        <v>10000</v>
      </c>
      <c r="J89">
        <v>16</v>
      </c>
      <c r="K89">
        <v>6221</v>
      </c>
      <c r="L89">
        <v>5012</v>
      </c>
      <c r="M89">
        <v>4945</v>
      </c>
      <c r="N89" t="s">
        <v>15</v>
      </c>
      <c r="O89">
        <v>2</v>
      </c>
      <c r="P89" t="s">
        <v>18</v>
      </c>
      <c r="Q89" s="3">
        <f>Query1[[#This Row],[program_name.test_cases.input.number_of_variables]]/H89</f>
        <v>4.9450000000000003</v>
      </c>
    </row>
    <row r="90" spans="1:17" hidden="1" x14ac:dyDescent="0.25">
      <c r="A90" s="1" t="s">
        <v>13</v>
      </c>
      <c r="B90" s="1" t="s">
        <v>27</v>
      </c>
      <c r="C90" s="5">
        <v>300.00421523296973</v>
      </c>
      <c r="D90" s="3">
        <v>12668928</v>
      </c>
      <c r="E90" s="1" t="s">
        <v>116</v>
      </c>
      <c r="F90" s="1" t="s">
        <v>24</v>
      </c>
      <c r="G90" s="1" t="s">
        <v>25</v>
      </c>
      <c r="H90" s="1">
        <v>5000</v>
      </c>
      <c r="I90" s="2">
        <v>15000</v>
      </c>
      <c r="J90" s="2">
        <v>4</v>
      </c>
      <c r="K90" s="2">
        <v>9306</v>
      </c>
      <c r="L90" s="2">
        <v>11178</v>
      </c>
      <c r="M90" s="2">
        <v>3818</v>
      </c>
      <c r="N90" s="2" t="s">
        <v>15</v>
      </c>
      <c r="O90" s="1"/>
      <c r="P90" s="1" t="s">
        <v>16</v>
      </c>
      <c r="Q90" s="2">
        <f>Query1[[#This Row],[program_name.test_cases.input.number_of_variables]]/H90</f>
        <v>0.76359999999999995</v>
      </c>
    </row>
    <row r="91" spans="1:17" hidden="1" x14ac:dyDescent="0.25">
      <c r="A91" t="s">
        <v>13</v>
      </c>
      <c r="B91" t="s">
        <v>27</v>
      </c>
      <c r="C91">
        <v>300.0061496499693</v>
      </c>
      <c r="D91">
        <v>9961472</v>
      </c>
      <c r="E91" t="s">
        <v>117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tabSelected="1" topLeftCell="A43" zoomScale="70" zoomScaleNormal="70" workbookViewId="0">
      <selection activeCell="M2" sqref="M2:M91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19</v>
      </c>
      <c r="B2" t="s">
        <v>118</v>
      </c>
      <c r="C2">
        <v>4.2608834977727383E-2</v>
      </c>
      <c r="D2">
        <v>60899328</v>
      </c>
      <c r="E2" t="s">
        <v>99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122</v>
      </c>
      <c r="L2">
        <v>66</v>
      </c>
      <c r="M2">
        <v>133</v>
      </c>
      <c r="N2" t="s">
        <v>15</v>
      </c>
      <c r="O2">
        <v>0</v>
      </c>
      <c r="P2" t="s">
        <v>17</v>
      </c>
      <c r="Q2" s="3">
        <f>Query13[[#This Row],[program_name.test_cases.input.number_of_variables]]/H2</f>
        <v>1.33</v>
      </c>
    </row>
    <row r="3" spans="1:17" hidden="1" x14ac:dyDescent="0.25">
      <c r="A3" t="s">
        <v>19</v>
      </c>
      <c r="B3" t="s">
        <v>118</v>
      </c>
      <c r="C3">
        <v>4.2610136966686696E-2</v>
      </c>
      <c r="D3">
        <v>60747776</v>
      </c>
      <c r="E3" t="s">
        <v>83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127</v>
      </c>
      <c r="L3">
        <v>133</v>
      </c>
      <c r="M3">
        <v>65</v>
      </c>
      <c r="N3" t="s">
        <v>15</v>
      </c>
      <c r="O3">
        <v>0</v>
      </c>
      <c r="P3" t="s">
        <v>17</v>
      </c>
      <c r="Q3" s="3">
        <f>Query13[[#This Row],[program_name.test_cases.input.number_of_variables]]/H3</f>
        <v>0.65</v>
      </c>
    </row>
    <row r="4" spans="1:17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28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3">
        <f>Query13[[#This Row],[program_name.test_cases.input.number_of_variables]]/H4</f>
        <v>1.03</v>
      </c>
    </row>
    <row r="5" spans="1:17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45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3">
        <f>Query13[[#This Row],[program_name.test_cases.input.number_of_variables]]/H5</f>
        <v>1.49</v>
      </c>
    </row>
    <row r="6" spans="1:17" hidden="1" x14ac:dyDescent="0.25">
      <c r="A6" t="s">
        <v>19</v>
      </c>
      <c r="B6" t="s">
        <v>118</v>
      </c>
      <c r="C6">
        <v>5.3165582998190075E-2</v>
      </c>
      <c r="D6">
        <v>60928000</v>
      </c>
      <c r="E6" t="s">
        <v>78</v>
      </c>
      <c r="F6" t="s">
        <v>24</v>
      </c>
      <c r="G6" t="s">
        <v>25</v>
      </c>
      <c r="H6">
        <v>100</v>
      </c>
      <c r="I6">
        <v>300</v>
      </c>
      <c r="J6">
        <v>4</v>
      </c>
      <c r="K6">
        <v>190</v>
      </c>
      <c r="L6">
        <v>78</v>
      </c>
      <c r="M6">
        <v>221</v>
      </c>
      <c r="N6" t="s">
        <v>15</v>
      </c>
      <c r="O6">
        <v>0</v>
      </c>
      <c r="P6" t="s">
        <v>17</v>
      </c>
      <c r="Q6" s="3">
        <f>Query13[[#This Row],[program_name.test_cases.input.number_of_variables]]/H6</f>
        <v>2.21</v>
      </c>
    </row>
    <row r="7" spans="1:17" hidden="1" x14ac:dyDescent="0.25">
      <c r="A7" t="s">
        <v>19</v>
      </c>
      <c r="B7" t="s">
        <v>118</v>
      </c>
      <c r="C7">
        <v>6.3173143949825317E-2</v>
      </c>
      <c r="D7">
        <v>61284352</v>
      </c>
      <c r="E7" t="s">
        <v>88</v>
      </c>
      <c r="F7" t="s">
        <v>24</v>
      </c>
      <c r="G7" t="s">
        <v>25</v>
      </c>
      <c r="H7">
        <v>100</v>
      </c>
      <c r="I7">
        <v>400</v>
      </c>
      <c r="J7">
        <v>6</v>
      </c>
      <c r="K7">
        <v>258</v>
      </c>
      <c r="L7">
        <v>318</v>
      </c>
      <c r="M7">
        <v>81</v>
      </c>
      <c r="N7" t="s">
        <v>15</v>
      </c>
      <c r="O7">
        <v>0</v>
      </c>
      <c r="P7" t="s">
        <v>17</v>
      </c>
      <c r="Q7" s="3">
        <f>Query13[[#This Row],[program_name.test_cases.input.number_of_variables]]/H7</f>
        <v>0.81</v>
      </c>
    </row>
    <row r="8" spans="1:17" hidden="1" x14ac:dyDescent="0.25">
      <c r="A8" s="1" t="s">
        <v>19</v>
      </c>
      <c r="B8" s="1" t="s">
        <v>20</v>
      </c>
      <c r="C8" s="4">
        <v>300.005865264975</v>
      </c>
      <c r="D8" s="3">
        <v>84111360</v>
      </c>
      <c r="E8" s="1" t="s">
        <v>34</v>
      </c>
      <c r="F8" s="1" t="s">
        <v>24</v>
      </c>
      <c r="G8" s="1" t="s">
        <v>25</v>
      </c>
      <c r="H8" s="1">
        <v>5000</v>
      </c>
      <c r="I8" s="1">
        <v>25000</v>
      </c>
      <c r="J8" s="1">
        <v>8</v>
      </c>
      <c r="K8" s="1">
        <v>15658</v>
      </c>
      <c r="L8" s="1">
        <v>12546</v>
      </c>
      <c r="M8" s="1">
        <v>12433</v>
      </c>
      <c r="N8" s="1" t="s">
        <v>15</v>
      </c>
      <c r="O8" s="1"/>
      <c r="P8" s="1" t="s">
        <v>16</v>
      </c>
      <c r="Q8" s="2">
        <f>Query13[[#This Row],[program_name.test_cases.input.number_of_variables]]/H8</f>
        <v>2.4866000000000001</v>
      </c>
    </row>
    <row r="9" spans="1:17" x14ac:dyDescent="0.25">
      <c r="A9" s="1" t="s">
        <v>19</v>
      </c>
      <c r="B9" s="1" t="s">
        <v>20</v>
      </c>
      <c r="C9" s="4">
        <v>6.3305624003987759E-2</v>
      </c>
      <c r="D9" s="3">
        <v>61390848</v>
      </c>
      <c r="E9" s="1" t="s">
        <v>37</v>
      </c>
      <c r="F9" s="1" t="s">
        <v>24</v>
      </c>
      <c r="G9" s="1" t="s">
        <v>25</v>
      </c>
      <c r="H9" s="1">
        <v>200</v>
      </c>
      <c r="I9" s="1">
        <v>400</v>
      </c>
      <c r="J9" s="1">
        <v>3</v>
      </c>
      <c r="K9" s="1">
        <v>263</v>
      </c>
      <c r="L9" s="1">
        <v>211</v>
      </c>
      <c r="M9" s="1">
        <v>187</v>
      </c>
      <c r="N9" s="1" t="s">
        <v>15</v>
      </c>
      <c r="O9" s="1">
        <v>0</v>
      </c>
      <c r="P9" s="1" t="s">
        <v>17</v>
      </c>
      <c r="Q9" s="3">
        <f>Query13[[#This Row],[program_name.test_cases.input.number_of_variables]]/H9</f>
        <v>0.93500000000000005</v>
      </c>
    </row>
    <row r="10" spans="1:17" hidden="1" x14ac:dyDescent="0.25">
      <c r="A10" t="s">
        <v>19</v>
      </c>
      <c r="B10" t="s">
        <v>118</v>
      </c>
      <c r="C10">
        <v>6.3389937044121325E-2</v>
      </c>
      <c r="D10">
        <v>61263872</v>
      </c>
      <c r="E10" t="s">
        <v>75</v>
      </c>
      <c r="F10" t="s">
        <v>24</v>
      </c>
      <c r="G10" t="s">
        <v>25</v>
      </c>
      <c r="H10">
        <v>200</v>
      </c>
      <c r="I10">
        <v>400</v>
      </c>
      <c r="J10">
        <v>3</v>
      </c>
      <c r="K10">
        <v>244</v>
      </c>
      <c r="L10">
        <v>270</v>
      </c>
      <c r="M10">
        <v>130</v>
      </c>
      <c r="N10" t="s">
        <v>15</v>
      </c>
      <c r="O10">
        <v>0</v>
      </c>
      <c r="P10" t="s">
        <v>17</v>
      </c>
      <c r="Q10" s="3">
        <f>Query13[[#This Row],[program_name.test_cases.input.number_of_variables]]/H10</f>
        <v>0.65</v>
      </c>
    </row>
    <row r="11" spans="1:17" hidden="1" x14ac:dyDescent="0.25">
      <c r="A11" t="s">
        <v>19</v>
      </c>
      <c r="B11" t="s">
        <v>118</v>
      </c>
      <c r="C11">
        <v>6.3401324965525419E-2</v>
      </c>
      <c r="D11">
        <v>61136896</v>
      </c>
      <c r="E11" t="s">
        <v>111</v>
      </c>
      <c r="F11" t="s">
        <v>24</v>
      </c>
      <c r="G11" t="s">
        <v>25</v>
      </c>
      <c r="H11">
        <v>200</v>
      </c>
      <c r="I11">
        <v>400</v>
      </c>
      <c r="J11">
        <v>3</v>
      </c>
      <c r="K11">
        <v>244</v>
      </c>
      <c r="L11">
        <v>134</v>
      </c>
      <c r="M11">
        <v>265</v>
      </c>
      <c r="N11" t="s">
        <v>15</v>
      </c>
      <c r="O11">
        <v>0</v>
      </c>
      <c r="P11" t="s">
        <v>17</v>
      </c>
      <c r="Q11" s="3">
        <f>Query13[[#This Row],[program_name.test_cases.input.number_of_variables]]/H11</f>
        <v>1.325</v>
      </c>
    </row>
    <row r="12" spans="1:17" hidden="1" x14ac:dyDescent="0.25">
      <c r="A12" t="s">
        <v>19</v>
      </c>
      <c r="B12" t="s">
        <v>118</v>
      </c>
      <c r="C12">
        <v>6.3442180980928242E-2</v>
      </c>
      <c r="D12">
        <v>61198336</v>
      </c>
      <c r="E12" t="s">
        <v>67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248</v>
      </c>
      <c r="L12">
        <v>77</v>
      </c>
      <c r="M12">
        <v>319</v>
      </c>
      <c r="N12" t="s">
        <v>15</v>
      </c>
      <c r="O12">
        <v>0</v>
      </c>
      <c r="P12" t="s">
        <v>17</v>
      </c>
      <c r="Q12" s="3">
        <f>Query13[[#This Row],[program_name.test_cases.input.number_of_variables]]/H12</f>
        <v>3.19</v>
      </c>
    </row>
    <row r="13" spans="1:17" hidden="1" x14ac:dyDescent="0.25">
      <c r="A13" t="s">
        <v>19</v>
      </c>
      <c r="B13" t="s">
        <v>118</v>
      </c>
      <c r="C13">
        <v>6.4323999977204949E-2</v>
      </c>
      <c r="D13">
        <v>61095936</v>
      </c>
      <c r="E13" t="s">
        <v>100</v>
      </c>
      <c r="F13" t="s">
        <v>24</v>
      </c>
      <c r="G13" t="s">
        <v>25</v>
      </c>
      <c r="H13">
        <v>100</v>
      </c>
      <c r="I13">
        <v>300</v>
      </c>
      <c r="J13">
        <v>4</v>
      </c>
      <c r="K13">
        <v>195</v>
      </c>
      <c r="L13">
        <v>213</v>
      </c>
      <c r="M13">
        <v>85</v>
      </c>
      <c r="N13" t="s">
        <v>15</v>
      </c>
      <c r="O13">
        <v>0</v>
      </c>
      <c r="P13" t="s">
        <v>17</v>
      </c>
      <c r="Q13" s="3">
        <f>Query13[[#This Row],[program_name.test_cases.input.number_of_variables]]/H13</f>
        <v>0.85</v>
      </c>
    </row>
    <row r="14" spans="1:17" x14ac:dyDescent="0.25">
      <c r="A14" s="1" t="s">
        <v>19</v>
      </c>
      <c r="B14" s="1" t="s">
        <v>20</v>
      </c>
      <c r="C14" s="4">
        <v>7.35593709978275E-2</v>
      </c>
      <c r="D14" s="3">
        <v>61202432</v>
      </c>
      <c r="E14" s="1" t="s">
        <v>38</v>
      </c>
      <c r="F14" s="1" t="s">
        <v>24</v>
      </c>
      <c r="G14" s="1" t="s">
        <v>25</v>
      </c>
      <c r="H14" s="1">
        <v>100</v>
      </c>
      <c r="I14" s="1">
        <v>400</v>
      </c>
      <c r="J14" s="1">
        <v>6</v>
      </c>
      <c r="K14" s="1">
        <v>247</v>
      </c>
      <c r="L14" s="1">
        <v>191</v>
      </c>
      <c r="M14" s="1">
        <v>200</v>
      </c>
      <c r="N14" s="1" t="s">
        <v>15</v>
      </c>
      <c r="O14" s="1">
        <v>0</v>
      </c>
      <c r="P14" s="1" t="s">
        <v>17</v>
      </c>
      <c r="Q14" s="3">
        <f>Query13[[#This Row],[program_name.test_cases.input.number_of_variables]]/H14</f>
        <v>2</v>
      </c>
    </row>
    <row r="15" spans="1:17" hidden="1" x14ac:dyDescent="0.25">
      <c r="A15" s="1" t="s">
        <v>19</v>
      </c>
      <c r="B15" s="1" t="s">
        <v>20</v>
      </c>
      <c r="C15" s="4">
        <v>300.00342338898918</v>
      </c>
      <c r="D15" s="3">
        <v>80662528</v>
      </c>
      <c r="E15" s="1" t="s">
        <v>41</v>
      </c>
      <c r="F15" s="1" t="s">
        <v>24</v>
      </c>
      <c r="G15" s="1" t="s">
        <v>25</v>
      </c>
      <c r="H15" s="1">
        <v>5000</v>
      </c>
      <c r="I15" s="1">
        <v>20000</v>
      </c>
      <c r="J15" s="1">
        <v>6</v>
      </c>
      <c r="K15" s="1">
        <v>12526</v>
      </c>
      <c r="L15" s="1">
        <v>10009</v>
      </c>
      <c r="M15" s="1">
        <v>9979</v>
      </c>
      <c r="N15" s="1" t="s">
        <v>15</v>
      </c>
      <c r="O15" s="1"/>
      <c r="P15" s="1" t="s">
        <v>16</v>
      </c>
      <c r="Q15" s="2">
        <f>Query13[[#This Row],[program_name.test_cases.input.number_of_variables]]/H15</f>
        <v>1.9958</v>
      </c>
    </row>
    <row r="16" spans="1:17" hidden="1" x14ac:dyDescent="0.25">
      <c r="A16" t="s">
        <v>19</v>
      </c>
      <c r="B16" t="s">
        <v>118</v>
      </c>
      <c r="C16">
        <v>7.3679360968526453E-2</v>
      </c>
      <c r="D16">
        <v>61386752</v>
      </c>
      <c r="E16" t="s">
        <v>98</v>
      </c>
      <c r="F16" t="s">
        <v>24</v>
      </c>
      <c r="G16" t="s">
        <v>25</v>
      </c>
      <c r="H16">
        <v>100</v>
      </c>
      <c r="I16">
        <v>500</v>
      </c>
      <c r="J16">
        <v>8</v>
      </c>
      <c r="K16">
        <v>320</v>
      </c>
      <c r="L16">
        <v>73</v>
      </c>
      <c r="M16">
        <v>414</v>
      </c>
      <c r="N16" t="s">
        <v>15</v>
      </c>
      <c r="O16">
        <v>0</v>
      </c>
      <c r="P16" t="s">
        <v>17</v>
      </c>
      <c r="Q16" s="3">
        <f>Query13[[#This Row],[program_name.test_cases.input.number_of_variables]]/H16</f>
        <v>4.1399999999999997</v>
      </c>
    </row>
    <row r="17" spans="1:17" hidden="1" x14ac:dyDescent="0.25">
      <c r="A17" t="s">
        <v>19</v>
      </c>
      <c r="B17" t="s">
        <v>118</v>
      </c>
      <c r="C17">
        <v>9.4081243965774761E-2</v>
      </c>
      <c r="D17">
        <v>61362176</v>
      </c>
      <c r="E17" t="s">
        <v>108</v>
      </c>
      <c r="F17" t="s">
        <v>24</v>
      </c>
      <c r="G17" t="s">
        <v>25</v>
      </c>
      <c r="H17">
        <v>200</v>
      </c>
      <c r="I17">
        <v>600</v>
      </c>
      <c r="J17">
        <v>4</v>
      </c>
      <c r="K17">
        <v>377</v>
      </c>
      <c r="L17">
        <v>162</v>
      </c>
      <c r="M17">
        <v>434</v>
      </c>
      <c r="N17" t="s">
        <v>15</v>
      </c>
      <c r="O17">
        <v>0</v>
      </c>
      <c r="P17" t="s">
        <v>17</v>
      </c>
      <c r="Q17" s="3">
        <f>Query13[[#This Row],[program_name.test_cases.input.number_of_variables]]/H17</f>
        <v>2.17</v>
      </c>
    </row>
    <row r="18" spans="1:17" x14ac:dyDescent="0.25">
      <c r="A18" s="1" t="s">
        <v>19</v>
      </c>
      <c r="B18" s="1" t="s">
        <v>20</v>
      </c>
      <c r="C18" s="1">
        <v>9.4451852957718074E-2</v>
      </c>
      <c r="D18" s="1">
        <v>61059072</v>
      </c>
      <c r="E18" s="1" t="s">
        <v>51</v>
      </c>
      <c r="F18" s="1" t="s">
        <v>24</v>
      </c>
      <c r="G18" s="1" t="s">
        <v>25</v>
      </c>
      <c r="H18" s="1">
        <v>100</v>
      </c>
      <c r="I18" s="1">
        <v>500</v>
      </c>
      <c r="J18" s="1">
        <v>8</v>
      </c>
      <c r="K18" s="1">
        <v>316</v>
      </c>
      <c r="L18" s="1">
        <v>243</v>
      </c>
      <c r="M18" s="1">
        <v>249</v>
      </c>
      <c r="N18" s="1" t="s">
        <v>15</v>
      </c>
      <c r="O18" s="1">
        <v>0</v>
      </c>
      <c r="P18" s="1" t="s">
        <v>17</v>
      </c>
      <c r="Q18" s="3">
        <f>Query13[[#This Row],[program_name.test_cases.input.number_of_variables]]/H18</f>
        <v>2.4900000000000002</v>
      </c>
    </row>
    <row r="19" spans="1:17" hidden="1" x14ac:dyDescent="0.25">
      <c r="A19" t="s">
        <v>19</v>
      </c>
      <c r="B19" t="s">
        <v>118</v>
      </c>
      <c r="C19">
        <v>0.10444044502219184</v>
      </c>
      <c r="D19">
        <v>61075456</v>
      </c>
      <c r="E19" t="s">
        <v>85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315</v>
      </c>
      <c r="L19">
        <v>406</v>
      </c>
      <c r="M19">
        <v>85</v>
      </c>
      <c r="N19" t="s">
        <v>15</v>
      </c>
      <c r="O19">
        <v>0</v>
      </c>
      <c r="P19" t="s">
        <v>17</v>
      </c>
      <c r="Q19" s="3">
        <f>Query13[[#This Row],[program_name.test_cases.input.number_of_variables]]/H19</f>
        <v>0.85</v>
      </c>
    </row>
    <row r="20" spans="1:17" hidden="1" x14ac:dyDescent="0.25">
      <c r="A20" s="1" t="s">
        <v>19</v>
      </c>
      <c r="B20" s="1" t="s">
        <v>20</v>
      </c>
      <c r="C20" s="4">
        <v>300.00434943800792</v>
      </c>
      <c r="D20" s="3">
        <v>96268288</v>
      </c>
      <c r="E20" s="1" t="s">
        <v>46</v>
      </c>
      <c r="F20" s="1" t="s">
        <v>24</v>
      </c>
      <c r="G20" s="1" t="s">
        <v>25</v>
      </c>
      <c r="H20" s="1">
        <v>5000</v>
      </c>
      <c r="I20" s="1">
        <v>50000</v>
      </c>
      <c r="J20" s="1">
        <v>16</v>
      </c>
      <c r="K20" s="1">
        <v>31159</v>
      </c>
      <c r="L20" s="1">
        <v>25011</v>
      </c>
      <c r="M20" s="1">
        <v>24952</v>
      </c>
      <c r="N20" s="1" t="s">
        <v>15</v>
      </c>
      <c r="O20" s="1"/>
      <c r="P20" s="1" t="s">
        <v>16</v>
      </c>
      <c r="Q20" s="2">
        <f>Query13[[#This Row],[program_name.test_cases.input.number_of_variables]]/H20</f>
        <v>4.9904000000000002</v>
      </c>
    </row>
    <row r="21" spans="1:17" hidden="1" x14ac:dyDescent="0.25">
      <c r="A21" s="1" t="s">
        <v>19</v>
      </c>
      <c r="B21" s="1" t="s">
        <v>20</v>
      </c>
      <c r="C21" s="4">
        <v>300.00311614200473</v>
      </c>
      <c r="D21" s="3">
        <v>83308544</v>
      </c>
      <c r="E21" s="1" t="s">
        <v>47</v>
      </c>
      <c r="F21" s="1" t="s">
        <v>24</v>
      </c>
      <c r="G21" s="1" t="s">
        <v>25</v>
      </c>
      <c r="H21" s="1">
        <v>2500</v>
      </c>
      <c r="I21" s="1">
        <v>25000</v>
      </c>
      <c r="J21" s="1">
        <v>16</v>
      </c>
      <c r="K21" s="1">
        <v>15621</v>
      </c>
      <c r="L21" s="1">
        <v>12475</v>
      </c>
      <c r="M21" s="1">
        <v>12498</v>
      </c>
      <c r="N21" s="1" t="s">
        <v>15</v>
      </c>
      <c r="O21" s="1"/>
      <c r="P21" s="1" t="s">
        <v>16</v>
      </c>
      <c r="Q21" s="2">
        <f>Query13[[#This Row],[program_name.test_cases.input.number_of_variables]]/H21</f>
        <v>4.9992000000000001</v>
      </c>
    </row>
    <row r="22" spans="1:17" x14ac:dyDescent="0.25">
      <c r="A22" s="1" t="s">
        <v>19</v>
      </c>
      <c r="B22" s="1" t="s">
        <v>20</v>
      </c>
      <c r="C22" s="1">
        <v>0.11476479703560472</v>
      </c>
      <c r="D22" s="1">
        <v>61358080</v>
      </c>
      <c r="E22" s="1" t="s">
        <v>50</v>
      </c>
      <c r="F22" s="1" t="s">
        <v>24</v>
      </c>
      <c r="G22" s="1" t="s">
        <v>25</v>
      </c>
      <c r="H22" s="1">
        <v>200</v>
      </c>
      <c r="I22" s="1">
        <v>600</v>
      </c>
      <c r="J22" s="1">
        <v>4</v>
      </c>
      <c r="K22" s="1">
        <v>376</v>
      </c>
      <c r="L22" s="1">
        <v>312</v>
      </c>
      <c r="M22" s="1">
        <v>286</v>
      </c>
      <c r="N22" s="1" t="s">
        <v>15</v>
      </c>
      <c r="O22" s="1">
        <v>0</v>
      </c>
      <c r="P22" s="1" t="s">
        <v>17</v>
      </c>
      <c r="Q22" s="3">
        <f>Query13[[#This Row],[program_name.test_cases.input.number_of_variables]]/H22</f>
        <v>1.43</v>
      </c>
    </row>
    <row r="23" spans="1:17" hidden="1" x14ac:dyDescent="0.25">
      <c r="A23" t="s">
        <v>19</v>
      </c>
      <c r="B23" t="s">
        <v>118</v>
      </c>
      <c r="C23">
        <v>0.11514575104229152</v>
      </c>
      <c r="D23">
        <v>61538304</v>
      </c>
      <c r="E23" t="s">
        <v>79</v>
      </c>
      <c r="F23" t="s">
        <v>24</v>
      </c>
      <c r="G23" t="s">
        <v>25</v>
      </c>
      <c r="H23">
        <v>200</v>
      </c>
      <c r="I23">
        <v>800</v>
      </c>
      <c r="J23">
        <v>6</v>
      </c>
      <c r="K23">
        <v>481</v>
      </c>
      <c r="L23">
        <v>183</v>
      </c>
      <c r="M23">
        <v>612</v>
      </c>
      <c r="N23" t="s">
        <v>15</v>
      </c>
      <c r="O23">
        <v>0</v>
      </c>
      <c r="P23" t="s">
        <v>17</v>
      </c>
      <c r="Q23" s="3">
        <f>Query13[[#This Row],[program_name.test_cases.input.number_of_variables]]/H23</f>
        <v>3.06</v>
      </c>
    </row>
    <row r="24" spans="1:17" hidden="1" x14ac:dyDescent="0.25">
      <c r="A24" t="s">
        <v>19</v>
      </c>
      <c r="B24" t="s">
        <v>118</v>
      </c>
      <c r="C24">
        <v>0.13553267501993105</v>
      </c>
      <c r="D24">
        <v>61403136</v>
      </c>
      <c r="E24" t="s">
        <v>70</v>
      </c>
      <c r="F24" t="s">
        <v>24</v>
      </c>
      <c r="G24" t="s">
        <v>25</v>
      </c>
      <c r="H24">
        <v>200</v>
      </c>
      <c r="I24">
        <v>600</v>
      </c>
      <c r="J24">
        <v>4</v>
      </c>
      <c r="K24">
        <v>372</v>
      </c>
      <c r="L24">
        <v>450</v>
      </c>
      <c r="M24">
        <v>146</v>
      </c>
      <c r="N24" t="s">
        <v>15</v>
      </c>
      <c r="O24">
        <v>0</v>
      </c>
      <c r="P24" t="s">
        <v>17</v>
      </c>
      <c r="Q24" s="3">
        <f>Query13[[#This Row],[program_name.test_cases.input.number_of_variables]]/H24</f>
        <v>0.73</v>
      </c>
    </row>
    <row r="25" spans="1:17" hidden="1" x14ac:dyDescent="0.25">
      <c r="A25" t="s">
        <v>19</v>
      </c>
      <c r="B25" t="s">
        <v>118</v>
      </c>
      <c r="C25">
        <v>0.16632833500625566</v>
      </c>
      <c r="D25">
        <v>61857792</v>
      </c>
      <c r="E25" t="s">
        <v>66</v>
      </c>
      <c r="F25" t="s">
        <v>24</v>
      </c>
      <c r="G25" t="s">
        <v>25</v>
      </c>
      <c r="H25">
        <v>200</v>
      </c>
      <c r="I25">
        <v>1000</v>
      </c>
      <c r="J25">
        <v>8</v>
      </c>
      <c r="K25">
        <v>624</v>
      </c>
      <c r="L25">
        <v>162</v>
      </c>
      <c r="M25">
        <v>831</v>
      </c>
      <c r="N25" t="s">
        <v>15</v>
      </c>
      <c r="O25">
        <v>0</v>
      </c>
      <c r="P25" t="s">
        <v>17</v>
      </c>
      <c r="Q25" s="3">
        <f>Query13[[#This Row],[program_name.test_cases.input.number_of_variables]]/H25</f>
        <v>4.1550000000000002</v>
      </c>
    </row>
    <row r="26" spans="1:17" hidden="1" x14ac:dyDescent="0.25">
      <c r="A26" t="s">
        <v>19</v>
      </c>
      <c r="B26" t="s">
        <v>118</v>
      </c>
      <c r="C26">
        <v>0.1869031130336225</v>
      </c>
      <c r="D26">
        <v>61865984</v>
      </c>
      <c r="E26" t="s">
        <v>95</v>
      </c>
      <c r="F26" t="s">
        <v>24</v>
      </c>
      <c r="G26" t="s">
        <v>25</v>
      </c>
      <c r="H26">
        <v>500</v>
      </c>
      <c r="I26">
        <v>1000</v>
      </c>
      <c r="J26">
        <v>3</v>
      </c>
      <c r="K26">
        <v>619</v>
      </c>
      <c r="L26">
        <v>347</v>
      </c>
      <c r="M26">
        <v>649</v>
      </c>
      <c r="N26" t="s">
        <v>15</v>
      </c>
      <c r="O26">
        <v>0</v>
      </c>
      <c r="P26" t="s">
        <v>17</v>
      </c>
      <c r="Q26" s="3">
        <f>Query13[[#This Row],[program_name.test_cases.input.number_of_variables]]/H26</f>
        <v>1.298</v>
      </c>
    </row>
    <row r="27" spans="1:17" hidden="1" x14ac:dyDescent="0.25">
      <c r="A27" t="s">
        <v>19</v>
      </c>
      <c r="B27" t="s">
        <v>118</v>
      </c>
      <c r="C27">
        <v>0.18695561599452049</v>
      </c>
      <c r="D27">
        <v>61857792</v>
      </c>
      <c r="E27" t="s">
        <v>84</v>
      </c>
      <c r="F27" t="s">
        <v>24</v>
      </c>
      <c r="G27" t="s">
        <v>25</v>
      </c>
      <c r="H27">
        <v>100</v>
      </c>
      <c r="I27">
        <v>1000</v>
      </c>
      <c r="J27">
        <v>16</v>
      </c>
      <c r="K27">
        <v>617</v>
      </c>
      <c r="L27">
        <v>82</v>
      </c>
      <c r="M27">
        <v>897</v>
      </c>
      <c r="N27" t="s">
        <v>15</v>
      </c>
      <c r="O27">
        <v>0</v>
      </c>
      <c r="P27" t="s">
        <v>17</v>
      </c>
      <c r="Q27" s="3">
        <f>Query13[[#This Row],[program_name.test_cases.input.number_of_variables]]/H27</f>
        <v>8.9700000000000006</v>
      </c>
    </row>
    <row r="28" spans="1:17" x14ac:dyDescent="0.25">
      <c r="A28" s="1" t="s">
        <v>19</v>
      </c>
      <c r="B28" s="1" t="s">
        <v>20</v>
      </c>
      <c r="C28" s="4">
        <v>0.19708550203358757</v>
      </c>
      <c r="D28" s="3">
        <v>61394944</v>
      </c>
      <c r="E28" s="1" t="s">
        <v>48</v>
      </c>
      <c r="F28" s="1" t="s">
        <v>24</v>
      </c>
      <c r="G28" s="1" t="s">
        <v>25</v>
      </c>
      <c r="H28" s="1">
        <v>200</v>
      </c>
      <c r="I28" s="1">
        <v>800</v>
      </c>
      <c r="J28" s="1">
        <v>6</v>
      </c>
      <c r="K28" s="1">
        <v>518</v>
      </c>
      <c r="L28" s="1">
        <v>396</v>
      </c>
      <c r="M28" s="1">
        <v>399</v>
      </c>
      <c r="N28" s="1" t="s">
        <v>15</v>
      </c>
      <c r="O28" s="1">
        <v>0</v>
      </c>
      <c r="P28" s="1" t="s">
        <v>17</v>
      </c>
      <c r="Q28" s="3">
        <f>Query13[[#This Row],[program_name.test_cases.input.number_of_variables]]/H28</f>
        <v>1.9950000000000001</v>
      </c>
    </row>
    <row r="29" spans="1:17" x14ac:dyDescent="0.25">
      <c r="A29" s="1" t="s">
        <v>19</v>
      </c>
      <c r="B29" s="1" t="s">
        <v>20</v>
      </c>
      <c r="C29" s="1">
        <v>0.19736934499815104</v>
      </c>
      <c r="D29" s="1">
        <v>61935616</v>
      </c>
      <c r="E29" s="1" t="s">
        <v>54</v>
      </c>
      <c r="F29" s="1" t="s">
        <v>24</v>
      </c>
      <c r="G29" s="1" t="s">
        <v>25</v>
      </c>
      <c r="H29" s="1">
        <v>500</v>
      </c>
      <c r="I29" s="1">
        <v>1000</v>
      </c>
      <c r="J29" s="1">
        <v>3</v>
      </c>
      <c r="K29" s="1">
        <v>621</v>
      </c>
      <c r="L29" s="1">
        <v>524</v>
      </c>
      <c r="M29" s="1">
        <v>475</v>
      </c>
      <c r="N29" s="1" t="s">
        <v>15</v>
      </c>
      <c r="O29" s="1">
        <v>0</v>
      </c>
      <c r="P29" s="1" t="s">
        <v>17</v>
      </c>
      <c r="Q29" s="3">
        <f>Query13[[#This Row],[program_name.test_cases.input.number_of_variables]]/H29</f>
        <v>0.95</v>
      </c>
    </row>
    <row r="30" spans="1:17" hidden="1" x14ac:dyDescent="0.25">
      <c r="A30" t="s">
        <v>19</v>
      </c>
      <c r="B30" t="s">
        <v>118</v>
      </c>
      <c r="C30">
        <v>0.21803078398806977</v>
      </c>
      <c r="D30">
        <v>61870080</v>
      </c>
      <c r="E30" t="s">
        <v>104</v>
      </c>
      <c r="F30" t="s">
        <v>24</v>
      </c>
      <c r="G30" t="s">
        <v>25</v>
      </c>
      <c r="H30">
        <v>500</v>
      </c>
      <c r="I30">
        <v>1000</v>
      </c>
      <c r="J30">
        <v>3</v>
      </c>
      <c r="K30">
        <v>629</v>
      </c>
      <c r="L30">
        <v>640</v>
      </c>
      <c r="M30">
        <v>354</v>
      </c>
      <c r="N30" t="s">
        <v>15</v>
      </c>
      <c r="O30">
        <v>0</v>
      </c>
      <c r="P30" t="s">
        <v>17</v>
      </c>
      <c r="Q30" s="3">
        <f>Query13[[#This Row],[program_name.test_cases.input.number_of_variables]]/H30</f>
        <v>0.70799999999999996</v>
      </c>
    </row>
    <row r="31" spans="1:17" hidden="1" x14ac:dyDescent="0.25">
      <c r="A31" t="s">
        <v>19</v>
      </c>
      <c r="B31" t="s">
        <v>118</v>
      </c>
      <c r="C31">
        <v>0.22808225202606991</v>
      </c>
      <c r="D31">
        <v>61984768</v>
      </c>
      <c r="E31" t="s">
        <v>93</v>
      </c>
      <c r="F31" t="s">
        <v>24</v>
      </c>
      <c r="G31" t="s">
        <v>25</v>
      </c>
      <c r="H31">
        <v>200</v>
      </c>
      <c r="I31">
        <v>1000</v>
      </c>
      <c r="J31">
        <v>8</v>
      </c>
      <c r="K31">
        <v>620</v>
      </c>
      <c r="L31">
        <v>825</v>
      </c>
      <c r="M31">
        <v>163</v>
      </c>
      <c r="N31" t="s">
        <v>15</v>
      </c>
      <c r="O31">
        <v>0</v>
      </c>
      <c r="P31" t="s">
        <v>17</v>
      </c>
      <c r="Q31" s="3">
        <f>Query13[[#This Row],[program_name.test_cases.input.number_of_variables]]/H31</f>
        <v>0.81499999999999995</v>
      </c>
    </row>
    <row r="32" spans="1:17" hidden="1" x14ac:dyDescent="0.25">
      <c r="A32" t="s">
        <v>19</v>
      </c>
      <c r="B32" t="s">
        <v>118</v>
      </c>
      <c r="C32">
        <v>0.22838304698234424</v>
      </c>
      <c r="D32">
        <v>61669376</v>
      </c>
      <c r="E32" t="s">
        <v>82</v>
      </c>
      <c r="F32" t="s">
        <v>24</v>
      </c>
      <c r="G32" t="s">
        <v>25</v>
      </c>
      <c r="H32">
        <v>200</v>
      </c>
      <c r="I32">
        <v>800</v>
      </c>
      <c r="J32">
        <v>6</v>
      </c>
      <c r="K32">
        <v>492</v>
      </c>
      <c r="L32">
        <v>634</v>
      </c>
      <c r="M32">
        <v>154</v>
      </c>
      <c r="N32" t="s">
        <v>15</v>
      </c>
      <c r="O32">
        <v>0</v>
      </c>
      <c r="P32" t="s">
        <v>17</v>
      </c>
      <c r="Q32" s="3">
        <f>Query13[[#This Row],[program_name.test_cases.input.number_of_variables]]/H32</f>
        <v>0.77</v>
      </c>
    </row>
    <row r="33" spans="1:17" x14ac:dyDescent="0.25">
      <c r="A33" s="1" t="s">
        <v>19</v>
      </c>
      <c r="B33" s="1" t="s">
        <v>20</v>
      </c>
      <c r="C33" s="4">
        <v>0.30039339303039014</v>
      </c>
      <c r="D33" s="3">
        <v>61743104</v>
      </c>
      <c r="E33" s="1" t="s">
        <v>42</v>
      </c>
      <c r="F33" s="1" t="s">
        <v>24</v>
      </c>
      <c r="G33" s="1" t="s">
        <v>25</v>
      </c>
      <c r="H33" s="1">
        <v>200</v>
      </c>
      <c r="I33" s="1">
        <v>1000</v>
      </c>
      <c r="J33" s="1">
        <v>8</v>
      </c>
      <c r="K33" s="1">
        <v>642</v>
      </c>
      <c r="L33" s="1">
        <v>510</v>
      </c>
      <c r="M33" s="1">
        <v>482</v>
      </c>
      <c r="N33" s="1" t="s">
        <v>15</v>
      </c>
      <c r="O33" s="1">
        <v>0</v>
      </c>
      <c r="P33" s="1" t="s">
        <v>17</v>
      </c>
      <c r="Q33" s="3">
        <f>Query13[[#This Row],[program_name.test_cases.input.number_of_variables]]/H33</f>
        <v>2.41</v>
      </c>
    </row>
    <row r="34" spans="1:17" x14ac:dyDescent="0.25">
      <c r="A34" s="1" t="s">
        <v>19</v>
      </c>
      <c r="B34" s="1" t="s">
        <v>20</v>
      </c>
      <c r="C34" s="4">
        <v>0.24916376400506124</v>
      </c>
      <c r="D34" s="3">
        <v>61935616</v>
      </c>
      <c r="E34" s="1" t="s">
        <v>49</v>
      </c>
      <c r="F34" s="1" t="s">
        <v>24</v>
      </c>
      <c r="G34" s="1" t="s">
        <v>25</v>
      </c>
      <c r="H34" s="1">
        <v>100</v>
      </c>
      <c r="I34" s="1">
        <v>1000</v>
      </c>
      <c r="J34" s="1">
        <v>16</v>
      </c>
      <c r="K34" s="1">
        <v>619</v>
      </c>
      <c r="L34" s="1">
        <v>488</v>
      </c>
      <c r="M34" s="1">
        <v>493</v>
      </c>
      <c r="N34" s="1" t="s">
        <v>15</v>
      </c>
      <c r="O34" s="1">
        <v>0</v>
      </c>
      <c r="P34" s="1" t="s">
        <v>17</v>
      </c>
      <c r="Q34" s="3">
        <f>Query13[[#This Row],[program_name.test_cases.input.number_of_variables]]/H34</f>
        <v>4.93</v>
      </c>
    </row>
    <row r="35" spans="1:17" hidden="1" x14ac:dyDescent="0.25">
      <c r="A35" t="s">
        <v>19</v>
      </c>
      <c r="B35" t="s">
        <v>118</v>
      </c>
      <c r="C35">
        <v>300.00445196602959</v>
      </c>
      <c r="D35">
        <v>81727488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19</v>
      </c>
      <c r="B36" t="s">
        <v>118</v>
      </c>
      <c r="C36">
        <v>0.35161383601371199</v>
      </c>
      <c r="D36">
        <v>62070784</v>
      </c>
      <c r="E36" t="s">
        <v>87</v>
      </c>
      <c r="F36" t="s">
        <v>24</v>
      </c>
      <c r="G36" t="s">
        <v>25</v>
      </c>
      <c r="H36">
        <v>100</v>
      </c>
      <c r="I36">
        <v>1000</v>
      </c>
      <c r="J36">
        <v>16</v>
      </c>
      <c r="K36">
        <v>635</v>
      </c>
      <c r="L36">
        <v>896</v>
      </c>
      <c r="M36">
        <v>86</v>
      </c>
      <c r="N36" t="s">
        <v>15</v>
      </c>
      <c r="O36">
        <v>0</v>
      </c>
      <c r="P36" t="s">
        <v>17</v>
      </c>
      <c r="Q36" s="3">
        <f>Query13[[#This Row],[program_name.test_cases.input.number_of_variables]]/H36</f>
        <v>0.86</v>
      </c>
    </row>
    <row r="37" spans="1:17" hidden="1" x14ac:dyDescent="0.25">
      <c r="A37" t="s">
        <v>19</v>
      </c>
      <c r="B37" t="s">
        <v>118</v>
      </c>
      <c r="C37">
        <v>300.00799809599994</v>
      </c>
      <c r="D37">
        <v>88678400</v>
      </c>
      <c r="E37" t="s">
        <v>63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hidden="1" x14ac:dyDescent="0.25">
      <c r="A38" t="s">
        <v>19</v>
      </c>
      <c r="B38" t="s">
        <v>118</v>
      </c>
      <c r="C38">
        <v>0.38302990299416706</v>
      </c>
      <c r="D38">
        <v>62345216</v>
      </c>
      <c r="E38" t="s">
        <v>60</v>
      </c>
      <c r="F38" t="s">
        <v>24</v>
      </c>
      <c r="G38" t="s">
        <v>25</v>
      </c>
      <c r="H38">
        <v>500</v>
      </c>
      <c r="I38">
        <v>1500</v>
      </c>
      <c r="J38">
        <v>4</v>
      </c>
      <c r="K38">
        <v>935</v>
      </c>
      <c r="L38">
        <v>365</v>
      </c>
      <c r="M38">
        <v>1134</v>
      </c>
      <c r="N38" t="s">
        <v>15</v>
      </c>
      <c r="O38">
        <v>0</v>
      </c>
      <c r="P38" t="s">
        <v>17</v>
      </c>
      <c r="Q38" s="3">
        <f>Query13[[#This Row],[program_name.test_cases.input.number_of_variables]]/H38</f>
        <v>2.2679999999999998</v>
      </c>
    </row>
    <row r="39" spans="1:17" x14ac:dyDescent="0.25">
      <c r="A39" s="1" t="s">
        <v>19</v>
      </c>
      <c r="B39" s="1" t="s">
        <v>20</v>
      </c>
      <c r="C39" s="1">
        <v>0.44452173903118819</v>
      </c>
      <c r="D39" s="1">
        <v>62435328</v>
      </c>
      <c r="E39" s="1" t="s">
        <v>55</v>
      </c>
      <c r="F39" s="1" t="s">
        <v>24</v>
      </c>
      <c r="G39" s="1" t="s">
        <v>25</v>
      </c>
      <c r="H39" s="1">
        <v>500</v>
      </c>
      <c r="I39" s="1">
        <v>1500</v>
      </c>
      <c r="J39" s="1">
        <v>4</v>
      </c>
      <c r="K39" s="1">
        <v>947</v>
      </c>
      <c r="L39" s="1">
        <v>730</v>
      </c>
      <c r="M39" s="1">
        <v>766</v>
      </c>
      <c r="N39" s="1" t="s">
        <v>15</v>
      </c>
      <c r="O39" s="1">
        <v>0</v>
      </c>
      <c r="P39" s="1" t="s">
        <v>17</v>
      </c>
      <c r="Q39" s="3">
        <f>Query13[[#This Row],[program_name.test_cases.input.number_of_variables]]/H39</f>
        <v>1.532</v>
      </c>
    </row>
    <row r="40" spans="1:17" hidden="1" x14ac:dyDescent="0.25">
      <c r="A40" t="s">
        <v>19</v>
      </c>
      <c r="B40" t="s">
        <v>118</v>
      </c>
      <c r="C40">
        <v>0.71242324804188684</v>
      </c>
      <c r="D40">
        <v>62734336</v>
      </c>
      <c r="E40" t="s">
        <v>65</v>
      </c>
      <c r="F40" t="s">
        <v>24</v>
      </c>
      <c r="G40" t="s">
        <v>25</v>
      </c>
      <c r="H40">
        <v>500</v>
      </c>
      <c r="I40">
        <v>2000</v>
      </c>
      <c r="J40">
        <v>6</v>
      </c>
      <c r="K40">
        <v>1244</v>
      </c>
      <c r="L40">
        <v>415</v>
      </c>
      <c r="M40">
        <v>1581</v>
      </c>
      <c r="N40" t="s">
        <v>15</v>
      </c>
      <c r="O40">
        <v>0</v>
      </c>
      <c r="P40" t="s">
        <v>17</v>
      </c>
      <c r="Q40" s="3">
        <f>Query13[[#This Row],[program_name.test_cases.input.number_of_variables]]/H40</f>
        <v>3.1619999999999999</v>
      </c>
    </row>
    <row r="41" spans="1:17" hidden="1" x14ac:dyDescent="0.25">
      <c r="A41" t="s">
        <v>19</v>
      </c>
      <c r="B41" t="s">
        <v>118</v>
      </c>
      <c r="C41">
        <v>0.73347344598732889</v>
      </c>
      <c r="D41">
        <v>62550016</v>
      </c>
      <c r="E41" t="s">
        <v>64</v>
      </c>
      <c r="F41" t="s">
        <v>24</v>
      </c>
      <c r="G41" t="s">
        <v>25</v>
      </c>
      <c r="H41">
        <v>500</v>
      </c>
      <c r="I41">
        <v>1500</v>
      </c>
      <c r="J41">
        <v>4</v>
      </c>
      <c r="K41">
        <v>940</v>
      </c>
      <c r="L41">
        <v>1134</v>
      </c>
      <c r="M41">
        <v>363</v>
      </c>
      <c r="N41" t="s">
        <v>15</v>
      </c>
      <c r="O41">
        <v>0</v>
      </c>
      <c r="P41" t="s">
        <v>17</v>
      </c>
      <c r="Q41" s="3">
        <f>Query13[[#This Row],[program_name.test_cases.input.number_of_variables]]/H41</f>
        <v>0.72599999999999998</v>
      </c>
    </row>
    <row r="42" spans="1:17" hidden="1" x14ac:dyDescent="0.25">
      <c r="A42" t="s">
        <v>19</v>
      </c>
      <c r="B42" t="s">
        <v>118</v>
      </c>
      <c r="C42">
        <v>0.76433521299622953</v>
      </c>
      <c r="D42">
        <v>62578688</v>
      </c>
      <c r="E42" t="s">
        <v>102</v>
      </c>
      <c r="F42" t="s">
        <v>24</v>
      </c>
      <c r="G42" t="s">
        <v>25</v>
      </c>
      <c r="H42">
        <v>200</v>
      </c>
      <c r="I42">
        <v>2000</v>
      </c>
      <c r="J42">
        <v>16</v>
      </c>
      <c r="K42">
        <v>1243</v>
      </c>
      <c r="L42">
        <v>182</v>
      </c>
      <c r="M42">
        <v>1787</v>
      </c>
      <c r="N42" t="s">
        <v>15</v>
      </c>
      <c r="O42">
        <v>0</v>
      </c>
      <c r="P42" t="s">
        <v>17</v>
      </c>
      <c r="Q42" s="3">
        <f>Query13[[#This Row],[program_name.test_cases.input.number_of_variables]]/H42</f>
        <v>8.9350000000000005</v>
      </c>
    </row>
    <row r="43" spans="1:17" x14ac:dyDescent="0.25">
      <c r="A43" s="1" t="s">
        <v>19</v>
      </c>
      <c r="B43" s="1" t="s">
        <v>20</v>
      </c>
      <c r="C43" s="4">
        <v>1.125840587017592</v>
      </c>
      <c r="D43" s="3">
        <v>62898176</v>
      </c>
      <c r="E43" s="1" t="s">
        <v>36</v>
      </c>
      <c r="F43" s="1" t="s">
        <v>24</v>
      </c>
      <c r="G43" s="1" t="s">
        <v>25</v>
      </c>
      <c r="H43" s="1">
        <v>200</v>
      </c>
      <c r="I43" s="1">
        <v>2000</v>
      </c>
      <c r="J43" s="1">
        <v>16</v>
      </c>
      <c r="K43" s="1">
        <v>1253</v>
      </c>
      <c r="L43" s="1">
        <v>995</v>
      </c>
      <c r="M43" s="1">
        <v>973</v>
      </c>
      <c r="N43" s="1" t="s">
        <v>15</v>
      </c>
      <c r="O43" s="1">
        <v>0</v>
      </c>
      <c r="P43" s="1" t="s">
        <v>17</v>
      </c>
      <c r="Q43" s="3">
        <f>Query13[[#This Row],[program_name.test_cases.input.number_of_variables]]/H43</f>
        <v>4.8650000000000002</v>
      </c>
    </row>
    <row r="44" spans="1:17" hidden="1" x14ac:dyDescent="0.25">
      <c r="A44" t="s">
        <v>19</v>
      </c>
      <c r="B44" t="s">
        <v>118</v>
      </c>
      <c r="C44">
        <v>0.79521734797162935</v>
      </c>
      <c r="D44">
        <v>62758912</v>
      </c>
      <c r="E44" t="s">
        <v>106</v>
      </c>
      <c r="F44" t="s">
        <v>24</v>
      </c>
      <c r="G44" t="s">
        <v>25</v>
      </c>
      <c r="H44">
        <v>1000</v>
      </c>
      <c r="I44">
        <v>2000</v>
      </c>
      <c r="J44">
        <v>3</v>
      </c>
      <c r="K44">
        <v>1276</v>
      </c>
      <c r="L44">
        <v>667</v>
      </c>
      <c r="M44">
        <v>1332</v>
      </c>
      <c r="N44" t="s">
        <v>15</v>
      </c>
      <c r="O44">
        <v>0</v>
      </c>
      <c r="P44" t="s">
        <v>17</v>
      </c>
      <c r="Q44" s="3">
        <f>Query13[[#This Row],[program_name.test_cases.input.number_of_variables]]/H44</f>
        <v>1.3320000000000001</v>
      </c>
    </row>
    <row r="45" spans="1:17" hidden="1" x14ac:dyDescent="0.25">
      <c r="A45" t="s">
        <v>19</v>
      </c>
      <c r="B45" t="s">
        <v>118</v>
      </c>
      <c r="C45">
        <v>0.87723580497549847</v>
      </c>
      <c r="D45">
        <v>62885888</v>
      </c>
      <c r="E45" t="s">
        <v>94</v>
      </c>
      <c r="F45" t="s">
        <v>24</v>
      </c>
      <c r="G45" t="s">
        <v>25</v>
      </c>
      <c r="H45">
        <v>1000</v>
      </c>
      <c r="I45">
        <v>2000</v>
      </c>
      <c r="J45">
        <v>3</v>
      </c>
      <c r="K45">
        <v>1273</v>
      </c>
      <c r="L45">
        <v>1346</v>
      </c>
      <c r="M45">
        <v>653</v>
      </c>
      <c r="N45" t="s">
        <v>15</v>
      </c>
      <c r="O45">
        <v>0</v>
      </c>
      <c r="P45" t="s">
        <v>17</v>
      </c>
      <c r="Q45" s="3">
        <f>Query13[[#This Row],[program_name.test_cases.input.number_of_variables]]/H45</f>
        <v>0.65300000000000002</v>
      </c>
    </row>
    <row r="46" spans="1:17" hidden="1" x14ac:dyDescent="0.25">
      <c r="A46" t="s">
        <v>19</v>
      </c>
      <c r="B46" t="s">
        <v>118</v>
      </c>
      <c r="C46">
        <v>1.0017708159866745</v>
      </c>
      <c r="D46">
        <v>62926848</v>
      </c>
      <c r="E46" t="s">
        <v>77</v>
      </c>
      <c r="F46" t="s">
        <v>24</v>
      </c>
      <c r="G46" t="s">
        <v>25</v>
      </c>
      <c r="H46">
        <v>500</v>
      </c>
      <c r="I46">
        <v>2000</v>
      </c>
      <c r="J46">
        <v>6</v>
      </c>
      <c r="K46">
        <v>1253</v>
      </c>
      <c r="L46">
        <v>1598</v>
      </c>
      <c r="M46">
        <v>394</v>
      </c>
      <c r="N46" t="s">
        <v>15</v>
      </c>
      <c r="O46">
        <v>0</v>
      </c>
      <c r="Q46" s="3">
        <f>Query13[[#This Row],[program_name.test_cases.input.number_of_variables]]/H46</f>
        <v>0.78800000000000003</v>
      </c>
    </row>
    <row r="47" spans="1:17" x14ac:dyDescent="0.25">
      <c r="A47" s="1" t="s">
        <v>19</v>
      </c>
      <c r="B47" s="1" t="s">
        <v>20</v>
      </c>
      <c r="C47" s="4">
        <v>1.0942349539836869</v>
      </c>
      <c r="D47" s="3">
        <v>62881792</v>
      </c>
      <c r="E47" s="1" t="s">
        <v>33</v>
      </c>
      <c r="F47" s="1" t="s">
        <v>24</v>
      </c>
      <c r="G47" s="1" t="s">
        <v>25</v>
      </c>
      <c r="H47" s="1">
        <v>500</v>
      </c>
      <c r="I47" s="1">
        <v>2000</v>
      </c>
      <c r="J47" s="1">
        <v>6</v>
      </c>
      <c r="K47" s="1">
        <v>1257</v>
      </c>
      <c r="L47" s="1">
        <v>974</v>
      </c>
      <c r="M47" s="1">
        <v>1014</v>
      </c>
      <c r="N47" s="1" t="s">
        <v>15</v>
      </c>
      <c r="O47" s="1">
        <v>0</v>
      </c>
      <c r="P47" s="1" t="s">
        <v>17</v>
      </c>
      <c r="Q47" s="3">
        <f>Query13[[#This Row],[program_name.test_cases.input.number_of_variables]]/H47</f>
        <v>2.028</v>
      </c>
    </row>
    <row r="48" spans="1:17" x14ac:dyDescent="0.25">
      <c r="A48" s="1" t="s">
        <v>19</v>
      </c>
      <c r="B48" s="1" t="s">
        <v>20</v>
      </c>
      <c r="C48" s="1">
        <v>0.77540042594773695</v>
      </c>
      <c r="D48" s="1">
        <v>62746624</v>
      </c>
      <c r="E48" s="1" t="s">
        <v>53</v>
      </c>
      <c r="F48" s="1" t="s">
        <v>24</v>
      </c>
      <c r="G48" s="1" t="s">
        <v>25</v>
      </c>
      <c r="H48" s="1">
        <v>1000</v>
      </c>
      <c r="I48" s="1">
        <v>2000</v>
      </c>
      <c r="J48" s="1">
        <v>3</v>
      </c>
      <c r="K48" s="1">
        <v>1240</v>
      </c>
      <c r="L48" s="1">
        <v>948</v>
      </c>
      <c r="M48" s="1">
        <v>1049</v>
      </c>
      <c r="N48" s="1" t="s">
        <v>15</v>
      </c>
      <c r="O48" s="1">
        <v>0</v>
      </c>
      <c r="P48" s="1" t="s">
        <v>17</v>
      </c>
      <c r="Q48" s="3">
        <f>Query13[[#This Row],[program_name.test_cases.input.number_of_variables]]/H48</f>
        <v>1.0489999999999999</v>
      </c>
    </row>
    <row r="49" spans="1:17" x14ac:dyDescent="0.25">
      <c r="A49" s="1" t="s">
        <v>19</v>
      </c>
      <c r="B49" s="1" t="s">
        <v>20</v>
      </c>
      <c r="C49" s="4">
        <v>1.4133816200192086</v>
      </c>
      <c r="D49" s="3">
        <v>63369216</v>
      </c>
      <c r="E49" s="1" t="s">
        <v>40</v>
      </c>
      <c r="F49" s="1" t="s">
        <v>24</v>
      </c>
      <c r="G49" s="1" t="s">
        <v>25</v>
      </c>
      <c r="H49" s="1">
        <v>500</v>
      </c>
      <c r="I49" s="1">
        <v>2500</v>
      </c>
      <c r="J49" s="1">
        <v>8</v>
      </c>
      <c r="K49" s="1">
        <v>1542</v>
      </c>
      <c r="L49" s="1">
        <v>1214</v>
      </c>
      <c r="M49" s="1">
        <v>1272</v>
      </c>
      <c r="N49" s="1" t="s">
        <v>15</v>
      </c>
      <c r="O49" s="1">
        <v>0</v>
      </c>
      <c r="P49" s="1" t="s">
        <v>17</v>
      </c>
      <c r="Q49" s="3">
        <f>Query13[[#This Row],[program_name.test_cases.input.number_of_variables]]/H49</f>
        <v>2.544</v>
      </c>
    </row>
    <row r="50" spans="1:17" hidden="1" x14ac:dyDescent="0.25">
      <c r="A50" t="s">
        <v>19</v>
      </c>
      <c r="B50" t="s">
        <v>118</v>
      </c>
      <c r="C50">
        <v>300.00870588899124</v>
      </c>
      <c r="D50">
        <v>81743872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19</v>
      </c>
      <c r="B51" t="s">
        <v>118</v>
      </c>
      <c r="C51">
        <v>1.4556734470534138</v>
      </c>
      <c r="D51">
        <v>63094784</v>
      </c>
      <c r="E51" t="s">
        <v>81</v>
      </c>
      <c r="F51" t="s">
        <v>24</v>
      </c>
      <c r="G51" t="s">
        <v>25</v>
      </c>
      <c r="H51">
        <v>500</v>
      </c>
      <c r="I51">
        <v>2500</v>
      </c>
      <c r="J51">
        <v>8</v>
      </c>
      <c r="K51">
        <v>1567</v>
      </c>
      <c r="L51">
        <v>400</v>
      </c>
      <c r="M51">
        <v>2087</v>
      </c>
      <c r="N51" t="s">
        <v>15</v>
      </c>
      <c r="O51">
        <v>0</v>
      </c>
      <c r="P51" t="s">
        <v>17</v>
      </c>
      <c r="Q51" s="3">
        <f>Query13[[#This Row],[program_name.test_cases.input.number_of_variables]]/H51</f>
        <v>4.1740000000000004</v>
      </c>
    </row>
    <row r="52" spans="1:17" hidden="1" x14ac:dyDescent="0.25">
      <c r="A52" t="s">
        <v>19</v>
      </c>
      <c r="B52" t="s">
        <v>118</v>
      </c>
      <c r="C52">
        <v>1.4967292390065268</v>
      </c>
      <c r="D52">
        <v>63143936</v>
      </c>
      <c r="E52" t="s">
        <v>86</v>
      </c>
      <c r="F52" t="s">
        <v>24</v>
      </c>
      <c r="G52" t="s">
        <v>25</v>
      </c>
      <c r="H52">
        <v>200</v>
      </c>
      <c r="I52">
        <v>2000</v>
      </c>
      <c r="J52">
        <v>16</v>
      </c>
      <c r="K52">
        <v>1258</v>
      </c>
      <c r="L52">
        <v>1829</v>
      </c>
      <c r="M52">
        <v>153</v>
      </c>
      <c r="N52" t="s">
        <v>15</v>
      </c>
      <c r="O52">
        <v>0</v>
      </c>
      <c r="P52" t="s">
        <v>17</v>
      </c>
      <c r="Q52" s="3">
        <f>Query13[[#This Row],[program_name.test_cases.input.number_of_variables]]/H52</f>
        <v>0.76500000000000001</v>
      </c>
    </row>
    <row r="53" spans="1:17" hidden="1" x14ac:dyDescent="0.25">
      <c r="A53" t="s">
        <v>19</v>
      </c>
      <c r="B53" t="s">
        <v>118</v>
      </c>
      <c r="C53">
        <v>1.9600405520177449</v>
      </c>
      <c r="D53">
        <v>63819776</v>
      </c>
      <c r="E53" t="s">
        <v>58</v>
      </c>
      <c r="F53" t="s">
        <v>24</v>
      </c>
      <c r="G53" t="s">
        <v>25</v>
      </c>
      <c r="H53">
        <v>1000</v>
      </c>
      <c r="I53">
        <v>3000</v>
      </c>
      <c r="J53">
        <v>4</v>
      </c>
      <c r="K53">
        <v>1895</v>
      </c>
      <c r="L53">
        <v>763</v>
      </c>
      <c r="M53">
        <v>2230</v>
      </c>
      <c r="N53" t="s">
        <v>15</v>
      </c>
      <c r="O53">
        <v>0</v>
      </c>
      <c r="P53" t="s">
        <v>17</v>
      </c>
      <c r="Q53" s="3">
        <f>Query13[[#This Row],[program_name.test_cases.input.number_of_variables]]/H53</f>
        <v>2.23</v>
      </c>
    </row>
    <row r="54" spans="1:17" x14ac:dyDescent="0.25">
      <c r="A54" s="1" t="s">
        <v>19</v>
      </c>
      <c r="B54" s="1" t="s">
        <v>20</v>
      </c>
      <c r="C54" s="4">
        <v>2.0713938319822773</v>
      </c>
      <c r="D54" s="3">
        <v>63807488</v>
      </c>
      <c r="E54" s="1" t="s">
        <v>31</v>
      </c>
      <c r="F54" s="1" t="s">
        <v>24</v>
      </c>
      <c r="G54" s="1" t="s">
        <v>25</v>
      </c>
      <c r="H54" s="1">
        <v>1000</v>
      </c>
      <c r="I54" s="1">
        <v>3000</v>
      </c>
      <c r="J54" s="1">
        <v>4</v>
      </c>
      <c r="K54" s="1">
        <v>1853</v>
      </c>
      <c r="L54" s="1">
        <v>1501</v>
      </c>
      <c r="M54" s="1">
        <v>1493</v>
      </c>
      <c r="N54" s="1" t="s">
        <v>15</v>
      </c>
      <c r="O54" s="1">
        <v>0</v>
      </c>
      <c r="P54" s="1"/>
      <c r="Q54" s="3">
        <f>Query13[[#This Row],[program_name.test_cases.input.number_of_variables]]/H54</f>
        <v>1.4930000000000001</v>
      </c>
    </row>
    <row r="55" spans="1:17" hidden="1" x14ac:dyDescent="0.25">
      <c r="A55" t="s">
        <v>19</v>
      </c>
      <c r="B55" t="s">
        <v>118</v>
      </c>
      <c r="C55">
        <v>2.4139155989978462</v>
      </c>
      <c r="D55">
        <v>63926272</v>
      </c>
      <c r="E55" t="s">
        <v>69</v>
      </c>
      <c r="F55" t="s">
        <v>24</v>
      </c>
      <c r="G55" t="s">
        <v>25</v>
      </c>
      <c r="H55">
        <v>1000</v>
      </c>
      <c r="I55">
        <v>3000</v>
      </c>
      <c r="J55">
        <v>4</v>
      </c>
      <c r="K55">
        <v>1869</v>
      </c>
      <c r="L55">
        <v>2266</v>
      </c>
      <c r="M55">
        <v>732</v>
      </c>
      <c r="N55" t="s">
        <v>15</v>
      </c>
      <c r="O55">
        <v>0</v>
      </c>
      <c r="P55" t="s">
        <v>17</v>
      </c>
      <c r="Q55" s="3">
        <f>Query13[[#This Row],[program_name.test_cases.input.number_of_variables]]/H55</f>
        <v>0.73199999999999998</v>
      </c>
    </row>
    <row r="56" spans="1:17" hidden="1" x14ac:dyDescent="0.25">
      <c r="A56" t="s">
        <v>19</v>
      </c>
      <c r="B56" t="s">
        <v>118</v>
      </c>
      <c r="C56">
        <v>2.4972493299865164</v>
      </c>
      <c r="D56">
        <v>63590400</v>
      </c>
      <c r="E56" t="s">
        <v>113</v>
      </c>
      <c r="F56" t="s">
        <v>24</v>
      </c>
      <c r="G56" t="s">
        <v>25</v>
      </c>
      <c r="H56">
        <v>500</v>
      </c>
      <c r="I56">
        <v>2500</v>
      </c>
      <c r="J56">
        <v>8</v>
      </c>
      <c r="K56">
        <v>1580</v>
      </c>
      <c r="L56">
        <v>2067</v>
      </c>
      <c r="M56">
        <v>423</v>
      </c>
      <c r="N56" t="s">
        <v>15</v>
      </c>
      <c r="O56">
        <v>0</v>
      </c>
      <c r="P56" t="s">
        <v>17</v>
      </c>
      <c r="Q56" s="3">
        <f>Query13[[#This Row],[program_name.test_cases.input.number_of_variables]]/H56</f>
        <v>0.84599999999999997</v>
      </c>
    </row>
    <row r="57" spans="1:17" hidden="1" x14ac:dyDescent="0.25">
      <c r="A57" t="s">
        <v>19</v>
      </c>
      <c r="B57" t="s">
        <v>118</v>
      </c>
      <c r="C57">
        <v>3.7016159549821168</v>
      </c>
      <c r="D57">
        <v>64618496</v>
      </c>
      <c r="E57" t="s">
        <v>72</v>
      </c>
      <c r="F57" t="s">
        <v>24</v>
      </c>
      <c r="G57" t="s">
        <v>25</v>
      </c>
      <c r="H57">
        <v>1000</v>
      </c>
      <c r="I57">
        <v>4000</v>
      </c>
      <c r="J57">
        <v>6</v>
      </c>
      <c r="K57">
        <v>2498</v>
      </c>
      <c r="L57">
        <v>836</v>
      </c>
      <c r="M57">
        <v>3155</v>
      </c>
      <c r="N57" t="s">
        <v>15</v>
      </c>
      <c r="O57">
        <v>0</v>
      </c>
      <c r="P57" t="s">
        <v>17</v>
      </c>
      <c r="Q57" s="3">
        <f>Query13[[#This Row],[program_name.test_cases.input.number_of_variables]]/H57</f>
        <v>3.1549999999999998</v>
      </c>
    </row>
    <row r="58" spans="1:17" x14ac:dyDescent="0.25">
      <c r="A58" s="1" t="s">
        <v>19</v>
      </c>
      <c r="B58" s="1" t="s">
        <v>20</v>
      </c>
      <c r="C58" s="4">
        <v>4.411272328987252</v>
      </c>
      <c r="D58" s="3">
        <v>64741376</v>
      </c>
      <c r="E58" s="1" t="s">
        <v>30</v>
      </c>
      <c r="F58" s="1" t="s">
        <v>24</v>
      </c>
      <c r="G58" s="1" t="s">
        <v>25</v>
      </c>
      <c r="H58" s="1">
        <v>1000</v>
      </c>
      <c r="I58" s="1">
        <v>4000</v>
      </c>
      <c r="J58" s="1">
        <v>6</v>
      </c>
      <c r="K58" s="1">
        <v>2507</v>
      </c>
      <c r="L58" s="1">
        <v>2032</v>
      </c>
      <c r="M58" s="1">
        <v>1960</v>
      </c>
      <c r="N58" s="1" t="s">
        <v>15</v>
      </c>
      <c r="O58" s="1">
        <v>0</v>
      </c>
      <c r="P58" s="1"/>
      <c r="Q58" s="3">
        <f>Query13[[#This Row],[program_name.test_cases.input.number_of_variables]]/H58</f>
        <v>1.96</v>
      </c>
    </row>
    <row r="59" spans="1:17" hidden="1" x14ac:dyDescent="0.25">
      <c r="A59" t="s">
        <v>19</v>
      </c>
      <c r="B59" t="s">
        <v>118</v>
      </c>
      <c r="C59">
        <v>4.8368103110115044</v>
      </c>
      <c r="D59">
        <v>64917504</v>
      </c>
      <c r="E59" t="s">
        <v>71</v>
      </c>
      <c r="F59" t="s">
        <v>24</v>
      </c>
      <c r="G59" t="s">
        <v>25</v>
      </c>
      <c r="H59">
        <v>1000</v>
      </c>
      <c r="I59">
        <v>4000</v>
      </c>
      <c r="J59">
        <v>6</v>
      </c>
      <c r="K59">
        <v>2482</v>
      </c>
      <c r="L59">
        <v>3172</v>
      </c>
      <c r="M59">
        <v>818</v>
      </c>
      <c r="N59" t="s">
        <v>15</v>
      </c>
      <c r="O59">
        <v>0</v>
      </c>
      <c r="P59" t="s">
        <v>17</v>
      </c>
      <c r="Q59" s="3">
        <f>Query13[[#This Row],[program_name.test_cases.input.number_of_variables]]/H59</f>
        <v>0.81799999999999995</v>
      </c>
    </row>
    <row r="60" spans="1:17" hidden="1" x14ac:dyDescent="0.25">
      <c r="A60" t="s">
        <v>19</v>
      </c>
      <c r="B60" t="s">
        <v>118</v>
      </c>
      <c r="C60">
        <v>6.538873985002283</v>
      </c>
      <c r="D60">
        <v>65589248</v>
      </c>
      <c r="E60" t="s">
        <v>115</v>
      </c>
      <c r="F60" t="s">
        <v>24</v>
      </c>
      <c r="G60" t="s">
        <v>25</v>
      </c>
      <c r="H60">
        <v>1000</v>
      </c>
      <c r="I60">
        <v>5000</v>
      </c>
      <c r="J60">
        <v>8</v>
      </c>
      <c r="K60">
        <v>3118</v>
      </c>
      <c r="L60">
        <v>834</v>
      </c>
      <c r="M60">
        <v>4154</v>
      </c>
      <c r="N60" t="s">
        <v>15</v>
      </c>
      <c r="O60">
        <v>0</v>
      </c>
      <c r="P60" t="s">
        <v>17</v>
      </c>
      <c r="Q60" s="3">
        <f>Query13[[#This Row],[program_name.test_cases.input.number_of_variables]]/H60</f>
        <v>4.1539999999999999</v>
      </c>
    </row>
    <row r="61" spans="1:17" hidden="1" x14ac:dyDescent="0.25">
      <c r="A61" t="s">
        <v>19</v>
      </c>
      <c r="B61" t="s">
        <v>118</v>
      </c>
      <c r="C61">
        <v>6.9988373200176284</v>
      </c>
      <c r="D61">
        <v>65703936</v>
      </c>
      <c r="E61" t="s">
        <v>90</v>
      </c>
      <c r="F61" t="s">
        <v>24</v>
      </c>
      <c r="G61" t="s">
        <v>25</v>
      </c>
      <c r="H61">
        <v>2500</v>
      </c>
      <c r="I61">
        <v>5000</v>
      </c>
      <c r="J61">
        <v>3</v>
      </c>
      <c r="K61">
        <v>3172</v>
      </c>
      <c r="L61">
        <v>1664</v>
      </c>
      <c r="M61">
        <v>3333</v>
      </c>
      <c r="N61" t="s">
        <v>15</v>
      </c>
      <c r="O61">
        <v>0</v>
      </c>
      <c r="P61" t="s">
        <v>17</v>
      </c>
      <c r="Q61" s="3">
        <f>Query13[[#This Row],[program_name.test_cases.input.number_of_variables]]/H61</f>
        <v>1.3331999999999999</v>
      </c>
    </row>
    <row r="62" spans="1:17" hidden="1" x14ac:dyDescent="0.25">
      <c r="A62" t="s">
        <v>19</v>
      </c>
      <c r="B62" t="s">
        <v>118</v>
      </c>
      <c r="C62">
        <v>7.0739297040272504</v>
      </c>
      <c r="D62">
        <v>65343488</v>
      </c>
      <c r="E62" t="s">
        <v>74</v>
      </c>
      <c r="F62" t="s">
        <v>24</v>
      </c>
      <c r="G62" t="s">
        <v>25</v>
      </c>
      <c r="H62">
        <v>500</v>
      </c>
      <c r="I62">
        <v>5000</v>
      </c>
      <c r="J62">
        <v>16</v>
      </c>
      <c r="K62">
        <v>3129</v>
      </c>
      <c r="L62">
        <v>491</v>
      </c>
      <c r="M62">
        <v>4478</v>
      </c>
      <c r="N62" t="s">
        <v>15</v>
      </c>
      <c r="O62">
        <v>0</v>
      </c>
      <c r="Q62" s="3">
        <f>Query13[[#This Row],[program_name.test_cases.input.number_of_variables]]/H62</f>
        <v>8.9559999999999995</v>
      </c>
    </row>
    <row r="63" spans="1:17" hidden="1" x14ac:dyDescent="0.25">
      <c r="A63" t="s">
        <v>19</v>
      </c>
      <c r="B63" t="s">
        <v>118</v>
      </c>
      <c r="C63">
        <v>300.00461036997149</v>
      </c>
      <c r="D63">
        <v>91422720</v>
      </c>
      <c r="E63" t="s">
        <v>89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x14ac:dyDescent="0.25">
      <c r="A64" s="1" t="s">
        <v>19</v>
      </c>
      <c r="B64" s="1" t="s">
        <v>20</v>
      </c>
      <c r="C64" s="1">
        <v>9.0457488279789686</v>
      </c>
      <c r="D64" s="1">
        <v>65851392</v>
      </c>
      <c r="E64" s="1" t="s">
        <v>52</v>
      </c>
      <c r="F64" s="1" t="s">
        <v>24</v>
      </c>
      <c r="G64" s="1" t="s">
        <v>25</v>
      </c>
      <c r="H64" s="1">
        <v>1000</v>
      </c>
      <c r="I64" s="1">
        <v>5000</v>
      </c>
      <c r="J64" s="1">
        <v>8</v>
      </c>
      <c r="K64" s="1">
        <v>3066</v>
      </c>
      <c r="L64" s="1">
        <v>2538</v>
      </c>
      <c r="M64" s="1">
        <v>2451</v>
      </c>
      <c r="N64" s="1" t="s">
        <v>15</v>
      </c>
      <c r="O64" s="1">
        <v>0</v>
      </c>
      <c r="P64" s="1"/>
      <c r="Q64" s="3">
        <f>Query13[[#This Row],[program_name.test_cases.input.number_of_variables]]/H64</f>
        <v>2.4510000000000001</v>
      </c>
    </row>
    <row r="65" spans="1:17" hidden="1" x14ac:dyDescent="0.25">
      <c r="A65" t="s">
        <v>19</v>
      </c>
      <c r="B65" t="s">
        <v>118</v>
      </c>
      <c r="C65">
        <v>299.99858069501352</v>
      </c>
      <c r="D65">
        <v>85467136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t="s">
        <v>19</v>
      </c>
      <c r="B66" t="s">
        <v>118</v>
      </c>
      <c r="C66">
        <v>7.591536505962722</v>
      </c>
      <c r="D66">
        <v>66039808</v>
      </c>
      <c r="E66" t="s">
        <v>73</v>
      </c>
      <c r="F66" t="s">
        <v>24</v>
      </c>
      <c r="G66" t="s">
        <v>25</v>
      </c>
      <c r="H66">
        <v>2500</v>
      </c>
      <c r="I66">
        <v>5000</v>
      </c>
      <c r="J66">
        <v>3</v>
      </c>
      <c r="K66">
        <v>3090</v>
      </c>
      <c r="L66">
        <v>3332</v>
      </c>
      <c r="M66">
        <v>1664</v>
      </c>
      <c r="N66" t="s">
        <v>15</v>
      </c>
      <c r="O66">
        <v>0</v>
      </c>
      <c r="Q66" s="3">
        <f>Query13[[#This Row],[program_name.test_cases.input.number_of_variables]]/H66</f>
        <v>0.66559999999999997</v>
      </c>
    </row>
    <row r="67" spans="1:17" x14ac:dyDescent="0.25">
      <c r="A67" s="1" t="s">
        <v>19</v>
      </c>
      <c r="B67" s="1" t="s">
        <v>20</v>
      </c>
      <c r="C67" s="4">
        <v>7.4946766019565985</v>
      </c>
      <c r="D67" s="3">
        <v>65982464</v>
      </c>
      <c r="E67" s="1" t="s">
        <v>39</v>
      </c>
      <c r="F67" s="1" t="s">
        <v>24</v>
      </c>
      <c r="G67" s="1" t="s">
        <v>25</v>
      </c>
      <c r="H67" s="1">
        <v>2500</v>
      </c>
      <c r="I67" s="1">
        <v>5000</v>
      </c>
      <c r="J67" s="1">
        <v>3</v>
      </c>
      <c r="K67" s="1">
        <v>3123</v>
      </c>
      <c r="L67" s="1">
        <v>2538</v>
      </c>
      <c r="M67" s="1">
        <v>2460</v>
      </c>
      <c r="N67" s="1" t="s">
        <v>15</v>
      </c>
      <c r="O67" s="1">
        <v>0</v>
      </c>
      <c r="P67" s="1"/>
      <c r="Q67" s="3">
        <f>Query13[[#This Row],[program_name.test_cases.input.number_of_variables]]/H67</f>
        <v>0.98399999999999999</v>
      </c>
    </row>
    <row r="68" spans="1:17" x14ac:dyDescent="0.25">
      <c r="A68" s="1" t="s">
        <v>19</v>
      </c>
      <c r="B68" s="1" t="s">
        <v>20</v>
      </c>
      <c r="C68" s="1">
        <v>9.3184149339795113</v>
      </c>
      <c r="D68" s="1">
        <v>65863680</v>
      </c>
      <c r="E68" s="1" t="s">
        <v>56</v>
      </c>
      <c r="F68" s="1" t="s">
        <v>24</v>
      </c>
      <c r="G68" s="1" t="s">
        <v>25</v>
      </c>
      <c r="H68" s="1">
        <v>500</v>
      </c>
      <c r="I68" s="1">
        <v>5000</v>
      </c>
      <c r="J68" s="1">
        <v>16</v>
      </c>
      <c r="K68" s="1">
        <v>3130</v>
      </c>
      <c r="L68" s="1">
        <v>2489</v>
      </c>
      <c r="M68" s="1">
        <v>2479</v>
      </c>
      <c r="N68" s="1" t="s">
        <v>15</v>
      </c>
      <c r="O68" s="1">
        <v>0</v>
      </c>
      <c r="P68" s="1"/>
      <c r="Q68" s="3">
        <f>Query13[[#This Row],[program_name.test_cases.input.number_of_variables]]/H68</f>
        <v>4.9580000000000002</v>
      </c>
    </row>
    <row r="69" spans="1:17" hidden="1" x14ac:dyDescent="0.25">
      <c r="A69" t="s">
        <v>19</v>
      </c>
      <c r="B69" t="s">
        <v>118</v>
      </c>
      <c r="C69">
        <v>11.944014973007144</v>
      </c>
      <c r="D69">
        <v>66359296</v>
      </c>
      <c r="E69" t="s">
        <v>80</v>
      </c>
      <c r="F69" t="s">
        <v>24</v>
      </c>
      <c r="G69" t="s">
        <v>25</v>
      </c>
      <c r="H69">
        <v>1000</v>
      </c>
      <c r="I69">
        <v>5000</v>
      </c>
      <c r="J69">
        <v>8</v>
      </c>
      <c r="K69">
        <v>3122</v>
      </c>
      <c r="L69">
        <v>4156</v>
      </c>
      <c r="M69">
        <v>834</v>
      </c>
      <c r="N69" t="s">
        <v>15</v>
      </c>
      <c r="O69">
        <v>0</v>
      </c>
      <c r="P69" t="s">
        <v>17</v>
      </c>
      <c r="Q69" s="3">
        <f>Query13[[#This Row],[program_name.test_cases.input.number_of_variables]]/H69</f>
        <v>0.83399999999999996</v>
      </c>
    </row>
    <row r="70" spans="1:17" hidden="1" x14ac:dyDescent="0.25">
      <c r="A70" t="s">
        <v>19</v>
      </c>
      <c r="B70" t="s">
        <v>118</v>
      </c>
      <c r="C70">
        <v>12.152488045045176</v>
      </c>
      <c r="D70">
        <v>66445312</v>
      </c>
      <c r="E70" t="s">
        <v>109</v>
      </c>
      <c r="F70" t="s">
        <v>24</v>
      </c>
      <c r="G70" t="s">
        <v>25</v>
      </c>
      <c r="H70">
        <v>500</v>
      </c>
      <c r="I70">
        <v>5000</v>
      </c>
      <c r="J70">
        <v>16</v>
      </c>
      <c r="K70">
        <v>3145</v>
      </c>
      <c r="L70">
        <v>4522</v>
      </c>
      <c r="M70">
        <v>447</v>
      </c>
      <c r="N70" t="s">
        <v>15</v>
      </c>
      <c r="O70">
        <v>0</v>
      </c>
      <c r="Q70" s="3">
        <f>Query13[[#This Row],[program_name.test_cases.input.number_of_variables]]/H70</f>
        <v>0.89400000000000002</v>
      </c>
    </row>
    <row r="71" spans="1:17" hidden="1" x14ac:dyDescent="0.25">
      <c r="A71" t="s">
        <v>19</v>
      </c>
      <c r="B71" t="s">
        <v>118</v>
      </c>
      <c r="C71">
        <v>19.208095730980855</v>
      </c>
      <c r="D71">
        <v>67923968</v>
      </c>
      <c r="E71" t="s">
        <v>97</v>
      </c>
      <c r="F71" t="s">
        <v>24</v>
      </c>
      <c r="G71" t="s">
        <v>25</v>
      </c>
      <c r="H71">
        <v>2500</v>
      </c>
      <c r="I71">
        <v>7500</v>
      </c>
      <c r="J71">
        <v>4</v>
      </c>
      <c r="K71">
        <v>4713</v>
      </c>
      <c r="L71">
        <v>1893</v>
      </c>
      <c r="M71">
        <v>5603</v>
      </c>
      <c r="N71" t="s">
        <v>15</v>
      </c>
      <c r="O71">
        <v>0</v>
      </c>
      <c r="Q71" s="3">
        <f>Query13[[#This Row],[program_name.test_cases.input.number_of_variables]]/H71</f>
        <v>2.2412000000000001</v>
      </c>
    </row>
    <row r="72" spans="1:17" x14ac:dyDescent="0.25">
      <c r="A72" s="1" t="s">
        <v>19</v>
      </c>
      <c r="B72" s="1" t="s">
        <v>20</v>
      </c>
      <c r="C72" s="4">
        <v>20.262063163041603</v>
      </c>
      <c r="D72" s="3">
        <v>68321280</v>
      </c>
      <c r="E72" s="1" t="s">
        <v>44</v>
      </c>
      <c r="F72" s="1" t="s">
        <v>24</v>
      </c>
      <c r="G72" s="1" t="s">
        <v>25</v>
      </c>
      <c r="H72" s="1">
        <v>2500</v>
      </c>
      <c r="I72" s="1">
        <v>7500</v>
      </c>
      <c r="J72" s="1">
        <v>4</v>
      </c>
      <c r="K72" s="1">
        <v>4653</v>
      </c>
      <c r="L72" s="1">
        <v>3774</v>
      </c>
      <c r="M72" s="1">
        <v>3720</v>
      </c>
      <c r="N72" s="1" t="s">
        <v>15</v>
      </c>
      <c r="O72" s="1">
        <v>0</v>
      </c>
      <c r="P72" s="1"/>
      <c r="Q72" s="3">
        <f>Query13[[#This Row],[program_name.test_cases.input.number_of_variables]]/H72</f>
        <v>1.488</v>
      </c>
    </row>
    <row r="73" spans="1:17" hidden="1" x14ac:dyDescent="0.25">
      <c r="A73" t="s">
        <v>19</v>
      </c>
      <c r="B73" t="s">
        <v>118</v>
      </c>
      <c r="C73">
        <v>21.336808073043361</v>
      </c>
      <c r="D73">
        <v>68698112</v>
      </c>
      <c r="E73" t="s">
        <v>101</v>
      </c>
      <c r="F73" t="s">
        <v>24</v>
      </c>
      <c r="G73" t="s">
        <v>25</v>
      </c>
      <c r="H73">
        <v>2500</v>
      </c>
      <c r="I73">
        <v>7500</v>
      </c>
      <c r="J73">
        <v>4</v>
      </c>
      <c r="K73">
        <v>4690</v>
      </c>
      <c r="L73">
        <v>5598</v>
      </c>
      <c r="M73">
        <v>1893</v>
      </c>
      <c r="N73" t="s">
        <v>15</v>
      </c>
      <c r="O73">
        <v>0</v>
      </c>
      <c r="Q73" s="3">
        <f>Query13[[#This Row],[program_name.test_cases.input.number_of_variables]]/H73</f>
        <v>0.75719999999999998</v>
      </c>
    </row>
    <row r="74" spans="1:17" hidden="1" x14ac:dyDescent="0.25">
      <c r="A74" t="s">
        <v>19</v>
      </c>
      <c r="B74" t="s">
        <v>118</v>
      </c>
      <c r="C74">
        <v>41.172536621976178</v>
      </c>
      <c r="D74">
        <v>70246400</v>
      </c>
      <c r="E74" t="s">
        <v>110</v>
      </c>
      <c r="F74" t="s">
        <v>24</v>
      </c>
      <c r="G74" t="s">
        <v>25</v>
      </c>
      <c r="H74">
        <v>2500</v>
      </c>
      <c r="I74">
        <v>10000</v>
      </c>
      <c r="J74">
        <v>6</v>
      </c>
      <c r="K74">
        <v>6276</v>
      </c>
      <c r="L74">
        <v>1998</v>
      </c>
      <c r="M74">
        <v>7992</v>
      </c>
      <c r="N74" t="s">
        <v>15</v>
      </c>
      <c r="O74">
        <v>0</v>
      </c>
      <c r="Q74" s="3">
        <f>Query13[[#This Row],[program_name.test_cases.input.number_of_variables]]/H74</f>
        <v>3.1968000000000001</v>
      </c>
    </row>
    <row r="75" spans="1:17" hidden="1" x14ac:dyDescent="0.25">
      <c r="A75" t="s">
        <v>19</v>
      </c>
      <c r="B75" t="s">
        <v>118</v>
      </c>
      <c r="C75">
        <v>42.874961238005199</v>
      </c>
      <c r="D75">
        <v>71446528</v>
      </c>
      <c r="E75" t="s">
        <v>107</v>
      </c>
      <c r="F75" t="s">
        <v>24</v>
      </c>
      <c r="G75" t="s">
        <v>25</v>
      </c>
      <c r="H75">
        <v>5000</v>
      </c>
      <c r="I75">
        <v>10000</v>
      </c>
      <c r="J75">
        <v>3</v>
      </c>
      <c r="K75">
        <v>6251</v>
      </c>
      <c r="L75">
        <v>6615</v>
      </c>
      <c r="M75">
        <v>3383</v>
      </c>
      <c r="N75" t="s">
        <v>15</v>
      </c>
      <c r="O75">
        <v>0</v>
      </c>
      <c r="Q75" s="3">
        <f>Query13[[#This Row],[program_name.test_cases.input.number_of_variables]]/H75</f>
        <v>0.67659999999999998</v>
      </c>
    </row>
    <row r="76" spans="1:17" x14ac:dyDescent="0.25">
      <c r="A76" s="1" t="s">
        <v>19</v>
      </c>
      <c r="B76" s="1" t="s">
        <v>20</v>
      </c>
      <c r="C76" s="4">
        <v>53.389985967951361</v>
      </c>
      <c r="D76" s="3">
        <v>70660096</v>
      </c>
      <c r="E76" s="1" t="s">
        <v>29</v>
      </c>
      <c r="F76" s="1" t="s">
        <v>24</v>
      </c>
      <c r="G76" s="1" t="s">
        <v>25</v>
      </c>
      <c r="H76" s="1">
        <v>1000</v>
      </c>
      <c r="I76" s="1">
        <v>10000</v>
      </c>
      <c r="J76" s="1">
        <v>16</v>
      </c>
      <c r="K76" s="1">
        <v>6221</v>
      </c>
      <c r="L76" s="1">
        <v>5012</v>
      </c>
      <c r="M76" s="1">
        <v>4945</v>
      </c>
      <c r="N76" s="1" t="s">
        <v>15</v>
      </c>
      <c r="O76" s="1">
        <v>0</v>
      </c>
      <c r="P76" s="1"/>
      <c r="Q76" s="3">
        <f>Query13[[#This Row],[program_name.test_cases.input.number_of_variables]]/H76</f>
        <v>4.9450000000000003</v>
      </c>
    </row>
    <row r="77" spans="1:17" hidden="1" x14ac:dyDescent="0.25">
      <c r="A77" t="s">
        <v>19</v>
      </c>
      <c r="B77" t="s">
        <v>118</v>
      </c>
      <c r="C77">
        <v>300.00858844298637</v>
      </c>
      <c r="D77">
        <v>82501632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t="s">
        <v>19</v>
      </c>
      <c r="B78" t="s">
        <v>118</v>
      </c>
      <c r="C78">
        <v>44.0695852409699</v>
      </c>
      <c r="D78">
        <v>69713920</v>
      </c>
      <c r="E78" t="s">
        <v>62</v>
      </c>
      <c r="F78" t="s">
        <v>24</v>
      </c>
      <c r="G78" t="s">
        <v>25</v>
      </c>
      <c r="H78">
        <v>1000</v>
      </c>
      <c r="I78">
        <v>10000</v>
      </c>
      <c r="J78">
        <v>16</v>
      </c>
      <c r="K78">
        <v>6228</v>
      </c>
      <c r="L78">
        <v>931</v>
      </c>
      <c r="M78">
        <v>9041</v>
      </c>
      <c r="N78" t="s">
        <v>15</v>
      </c>
      <c r="O78">
        <v>0</v>
      </c>
      <c r="Q78" s="3">
        <f>Query13[[#This Row],[program_name.test_cases.input.number_of_variables]]/H78</f>
        <v>9.0410000000000004</v>
      </c>
    </row>
    <row r="79" spans="1:17" x14ac:dyDescent="0.25">
      <c r="A79" s="1" t="s">
        <v>19</v>
      </c>
      <c r="B79" s="1" t="s">
        <v>20</v>
      </c>
      <c r="C79" s="4">
        <v>44.650280915026087</v>
      </c>
      <c r="D79" s="3">
        <v>70823936</v>
      </c>
      <c r="E79" s="1" t="s">
        <v>32</v>
      </c>
      <c r="F79" s="1" t="s">
        <v>24</v>
      </c>
      <c r="G79" s="1" t="s">
        <v>25</v>
      </c>
      <c r="H79" s="1">
        <v>2500</v>
      </c>
      <c r="I79" s="1">
        <v>10000</v>
      </c>
      <c r="J79" s="1">
        <v>6</v>
      </c>
      <c r="K79" s="1">
        <v>6270</v>
      </c>
      <c r="L79" s="1">
        <v>4946</v>
      </c>
      <c r="M79" s="1">
        <v>5046</v>
      </c>
      <c r="N79" s="1" t="s">
        <v>15</v>
      </c>
      <c r="O79" s="1">
        <v>0</v>
      </c>
      <c r="P79" s="1"/>
      <c r="Q79" s="3">
        <f>Query13[[#This Row],[program_name.test_cases.input.number_of_variables]]/H79</f>
        <v>2.0184000000000002</v>
      </c>
    </row>
    <row r="80" spans="1:17" hidden="1" x14ac:dyDescent="0.25">
      <c r="A80" t="s">
        <v>19</v>
      </c>
      <c r="B80" t="s">
        <v>118</v>
      </c>
      <c r="C80">
        <v>44.776390582032029</v>
      </c>
      <c r="D80">
        <v>70897664</v>
      </c>
      <c r="E80" t="s">
        <v>117</v>
      </c>
      <c r="F80" t="s">
        <v>24</v>
      </c>
      <c r="G80" t="s">
        <v>25</v>
      </c>
      <c r="H80">
        <v>5000</v>
      </c>
      <c r="I80">
        <v>10000</v>
      </c>
      <c r="J80">
        <v>3</v>
      </c>
      <c r="K80">
        <v>6295</v>
      </c>
      <c r="L80">
        <v>3360</v>
      </c>
      <c r="M80">
        <v>6636</v>
      </c>
      <c r="N80" t="s">
        <v>15</v>
      </c>
      <c r="O80">
        <v>0</v>
      </c>
      <c r="Q80" s="3">
        <f>Query13[[#This Row],[program_name.test_cases.input.number_of_variables]]/H80</f>
        <v>1.3271999999999999</v>
      </c>
    </row>
    <row r="81" spans="1:17" x14ac:dyDescent="0.25">
      <c r="A81" s="1" t="s">
        <v>19</v>
      </c>
      <c r="B81" s="1" t="s">
        <v>20</v>
      </c>
      <c r="C81" s="1">
        <v>43.959103945002425</v>
      </c>
      <c r="D81" s="1">
        <v>71069696</v>
      </c>
      <c r="E81" s="1" t="s">
        <v>57</v>
      </c>
      <c r="F81" s="1" t="s">
        <v>24</v>
      </c>
      <c r="G81" s="1" t="s">
        <v>25</v>
      </c>
      <c r="H81" s="1">
        <v>5000</v>
      </c>
      <c r="I81" s="1">
        <v>10000</v>
      </c>
      <c r="J81" s="1">
        <v>3</v>
      </c>
      <c r="K81" s="1">
        <v>6225</v>
      </c>
      <c r="L81" s="1">
        <v>4934</v>
      </c>
      <c r="M81" s="1">
        <v>5064</v>
      </c>
      <c r="N81" s="1" t="s">
        <v>15</v>
      </c>
      <c r="O81" s="1">
        <v>0</v>
      </c>
      <c r="P81" s="1"/>
      <c r="Q81" s="3">
        <f>Query13[[#This Row],[program_name.test_cases.input.number_of_variables]]/H81</f>
        <v>1.0127999999999999</v>
      </c>
    </row>
    <row r="82" spans="1:17" hidden="1" x14ac:dyDescent="0.25">
      <c r="A82" t="s">
        <v>19</v>
      </c>
      <c r="B82" t="s">
        <v>118</v>
      </c>
      <c r="C82">
        <v>60.435509024013299</v>
      </c>
      <c r="D82">
        <v>71610368</v>
      </c>
      <c r="E82" t="s">
        <v>92</v>
      </c>
      <c r="F82" t="s">
        <v>24</v>
      </c>
      <c r="G82" t="s">
        <v>25</v>
      </c>
      <c r="H82">
        <v>2500</v>
      </c>
      <c r="I82">
        <v>10000</v>
      </c>
      <c r="J82">
        <v>6</v>
      </c>
      <c r="K82">
        <v>6294</v>
      </c>
      <c r="L82">
        <v>8013</v>
      </c>
      <c r="M82">
        <v>1975</v>
      </c>
      <c r="N82" t="s">
        <v>15</v>
      </c>
      <c r="O82">
        <v>0</v>
      </c>
      <c r="Q82" s="3">
        <f>Query13[[#This Row],[program_name.test_cases.input.number_of_variables]]/H82</f>
        <v>0.79</v>
      </c>
    </row>
    <row r="83" spans="1:17" hidden="1" x14ac:dyDescent="0.25">
      <c r="A83" t="s">
        <v>19</v>
      </c>
      <c r="B83" t="s">
        <v>118</v>
      </c>
      <c r="C83">
        <v>63.438968504953664</v>
      </c>
      <c r="D83">
        <v>71745536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0</v>
      </c>
      <c r="Q83" s="3">
        <f>Query13[[#This Row],[program_name.test_cases.input.number_of_variables]]/H83</f>
        <v>0.90800000000000003</v>
      </c>
    </row>
    <row r="84" spans="1:17" x14ac:dyDescent="0.25">
      <c r="A84" s="1" t="s">
        <v>19</v>
      </c>
      <c r="B84" s="1" t="s">
        <v>20</v>
      </c>
      <c r="C84" s="4">
        <v>80.443289969000034</v>
      </c>
      <c r="D84" s="3">
        <v>72937472</v>
      </c>
      <c r="E84" s="1" t="s">
        <v>43</v>
      </c>
      <c r="F84" s="1" t="s">
        <v>24</v>
      </c>
      <c r="G84" s="1" t="s">
        <v>25</v>
      </c>
      <c r="H84" s="1">
        <v>2500</v>
      </c>
      <c r="I84" s="1">
        <v>12500</v>
      </c>
      <c r="J84" s="1">
        <v>8</v>
      </c>
      <c r="K84" s="1">
        <v>7810</v>
      </c>
      <c r="L84" s="1">
        <v>6136</v>
      </c>
      <c r="M84" s="1">
        <v>6338</v>
      </c>
      <c r="N84" s="1" t="s">
        <v>15</v>
      </c>
      <c r="O84" s="1">
        <v>0</v>
      </c>
      <c r="P84" s="1"/>
      <c r="Q84" s="3">
        <f>Query13[[#This Row],[program_name.test_cases.input.number_of_variables]]/H84</f>
        <v>2.5352000000000001</v>
      </c>
    </row>
    <row r="85" spans="1:17" hidden="1" x14ac:dyDescent="0.25">
      <c r="A85" t="s">
        <v>19</v>
      </c>
      <c r="B85" t="s">
        <v>118</v>
      </c>
      <c r="C85">
        <v>83.330121093022171</v>
      </c>
      <c r="D85">
        <v>73826304</v>
      </c>
      <c r="E85" t="s">
        <v>96</v>
      </c>
      <c r="F85" t="s">
        <v>24</v>
      </c>
      <c r="G85" t="s">
        <v>25</v>
      </c>
      <c r="H85">
        <v>2500</v>
      </c>
      <c r="I85">
        <v>12500</v>
      </c>
      <c r="J85">
        <v>8</v>
      </c>
      <c r="K85">
        <v>7770</v>
      </c>
      <c r="L85">
        <v>10380</v>
      </c>
      <c r="M85">
        <v>2100</v>
      </c>
      <c r="N85" t="s">
        <v>15</v>
      </c>
      <c r="O85">
        <v>0</v>
      </c>
      <c r="Q85" s="3">
        <f>Query13[[#This Row],[program_name.test_cases.input.number_of_variables]]/H85</f>
        <v>0.84</v>
      </c>
    </row>
    <row r="86" spans="1:17" hidden="1" x14ac:dyDescent="0.25">
      <c r="A86" t="s">
        <v>19</v>
      </c>
      <c r="B86" t="s">
        <v>118</v>
      </c>
      <c r="C86">
        <v>86.787678505002987</v>
      </c>
      <c r="D86">
        <v>72114176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O86">
        <v>0</v>
      </c>
      <c r="Q86" s="3">
        <f>Query13[[#This Row],[program_name.test_cases.input.number_of_variables]]/H86</f>
        <v>4.1604000000000001</v>
      </c>
    </row>
    <row r="87" spans="1:17" hidden="1" x14ac:dyDescent="0.25">
      <c r="A87" t="s">
        <v>19</v>
      </c>
      <c r="B87" t="s">
        <v>118</v>
      </c>
      <c r="C87">
        <v>131.14772083598655</v>
      </c>
      <c r="D87">
        <v>75059200</v>
      </c>
      <c r="E87" t="s">
        <v>68</v>
      </c>
      <c r="F87" t="s">
        <v>24</v>
      </c>
      <c r="G87" t="s">
        <v>25</v>
      </c>
      <c r="H87">
        <v>5000</v>
      </c>
      <c r="I87">
        <v>15000</v>
      </c>
      <c r="J87">
        <v>4</v>
      </c>
      <c r="K87">
        <v>9405</v>
      </c>
      <c r="L87">
        <v>3780</v>
      </c>
      <c r="M87">
        <v>11218</v>
      </c>
      <c r="N87" t="s">
        <v>15</v>
      </c>
      <c r="O87">
        <v>0</v>
      </c>
      <c r="Q87" s="3">
        <f>Query13[[#This Row],[program_name.test_cases.input.number_of_variables]]/H87</f>
        <v>2.2435999999999998</v>
      </c>
    </row>
    <row r="88" spans="1:17" hidden="1" x14ac:dyDescent="0.25">
      <c r="A88" t="s">
        <v>19</v>
      </c>
      <c r="B88" t="s">
        <v>118</v>
      </c>
      <c r="C88">
        <v>300.00489659101004</v>
      </c>
      <c r="D88">
        <v>85495808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19</v>
      </c>
      <c r="B89" s="1" t="s">
        <v>20</v>
      </c>
      <c r="C89" s="4">
        <v>131.88990875094896</v>
      </c>
      <c r="D89" s="3">
        <v>75767808</v>
      </c>
      <c r="E89" s="1" t="s">
        <v>35</v>
      </c>
      <c r="F89" s="1" t="s">
        <v>24</v>
      </c>
      <c r="G89" s="1" t="s">
        <v>25</v>
      </c>
      <c r="H89" s="1">
        <v>5000</v>
      </c>
      <c r="I89" s="1">
        <v>15000</v>
      </c>
      <c r="J89" s="1">
        <v>4</v>
      </c>
      <c r="K89" s="1">
        <v>9366</v>
      </c>
      <c r="L89" s="1">
        <v>7495</v>
      </c>
      <c r="M89" s="1">
        <v>7501</v>
      </c>
      <c r="N89" s="1" t="s">
        <v>15</v>
      </c>
      <c r="O89" s="1">
        <v>0</v>
      </c>
      <c r="P89" s="1"/>
      <c r="Q89" s="3">
        <f>Query13[[#This Row],[program_name.test_cases.input.number_of_variables]]/H89</f>
        <v>1.5002</v>
      </c>
    </row>
    <row r="90" spans="1:17" hidden="1" x14ac:dyDescent="0.25">
      <c r="A90" t="s">
        <v>19</v>
      </c>
      <c r="B90" t="s">
        <v>118</v>
      </c>
      <c r="C90">
        <v>143.42560111102648</v>
      </c>
      <c r="D90">
        <v>76566528</v>
      </c>
      <c r="E90" t="s">
        <v>116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9306</v>
      </c>
      <c r="L90">
        <v>11178</v>
      </c>
      <c r="M90">
        <v>3818</v>
      </c>
      <c r="N90" t="s">
        <v>15</v>
      </c>
      <c r="O90">
        <v>0</v>
      </c>
      <c r="Q90" s="3">
        <f>Query13[[#This Row],[program_name.test_cases.input.number_of_variables]]/H90</f>
        <v>0.76359999999999995</v>
      </c>
    </row>
    <row r="91" spans="1:17" hidden="1" x14ac:dyDescent="0.25">
      <c r="A91" t="s">
        <v>19</v>
      </c>
      <c r="B91" t="s">
        <v>118</v>
      </c>
      <c r="C91">
        <v>295.73643653502222</v>
      </c>
      <c r="D91">
        <v>79466496</v>
      </c>
      <c r="E91" t="s">
        <v>59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3">
        <f>Query13[[#This Row],[program_name.test_cases.input.number_of_variables]]/H91</f>
        <v>3.1831999999999998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2019-08-09T09:16:38Z</dcterms:modified>
</cp:coreProperties>
</file>