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173E4F65-7B84-4DB1-93BA-84CAF16CD1B6}" xr6:coauthVersionLast="43" xr6:coauthVersionMax="43" xr10:uidLastSave="{00000000-0000-0000-0000-000000000000}"/>
  <bookViews>
    <workbookView xWindow="28680" yWindow="-120" windowWidth="29040" windowHeight="15990" activeTab="1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Prover9!$A$1:$P$91</definedName>
    <definedName name="ExternalData_1" localSheetId="2" hidden="1">SPASS!$A$1:$P$91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83" i="2" l="1"/>
  <c r="Q81" i="2"/>
  <c r="Q75" i="2"/>
  <c r="Q77" i="2"/>
  <c r="Q76" i="2"/>
  <c r="Q63" i="2"/>
  <c r="Q71" i="2"/>
  <c r="Q84" i="2"/>
  <c r="Q62" i="2"/>
  <c r="Q61" i="2"/>
  <c r="Q88" i="2"/>
  <c r="Q38" i="2"/>
  <c r="Q69" i="2"/>
  <c r="Q70" i="2"/>
  <c r="Q67" i="2"/>
  <c r="Q49" i="2"/>
  <c r="Q60" i="2"/>
  <c r="Q48" i="2"/>
  <c r="Q68" i="2"/>
  <c r="Q66" i="2"/>
  <c r="Q90" i="2"/>
  <c r="Q52" i="2"/>
  <c r="Q54" i="2"/>
  <c r="Q37" i="2"/>
  <c r="Q23" i="2"/>
  <c r="Q55" i="2"/>
  <c r="Q50" i="2"/>
  <c r="Q57" i="2"/>
  <c r="Q58" i="2"/>
  <c r="Q46" i="2"/>
  <c r="Q82" i="2"/>
  <c r="Q36" i="2"/>
  <c r="Q51" i="2"/>
  <c r="Q39" i="2"/>
  <c r="Q35" i="2"/>
  <c r="Q41" i="2"/>
  <c r="Q86" i="2"/>
  <c r="Q19" i="2"/>
  <c r="Q42" i="2"/>
  <c r="Q43" i="2"/>
  <c r="Q79" i="2"/>
  <c r="Q65" i="2"/>
  <c r="Q78" i="2"/>
  <c r="Q45" i="2"/>
  <c r="Q87" i="2"/>
  <c r="Q18" i="2"/>
  <c r="Q34" i="2"/>
  <c r="Q16" i="2"/>
  <c r="Q26" i="2"/>
  <c r="Q28" i="2"/>
  <c r="Q25" i="2"/>
  <c r="Q29" i="2"/>
  <c r="Q14" i="2"/>
  <c r="Q33" i="2"/>
  <c r="Q2" i="2"/>
  <c r="Q3" i="2"/>
  <c r="Q7" i="2"/>
  <c r="Q5" i="2"/>
  <c r="Q91" i="3" l="1"/>
  <c r="Q85" i="3"/>
  <c r="Q90" i="3"/>
  <c r="Q83" i="3"/>
  <c r="Q71" i="3"/>
  <c r="Q55" i="3"/>
  <c r="Q73" i="3"/>
  <c r="Q87" i="3"/>
  <c r="Q70" i="3"/>
  <c r="Q86" i="3"/>
  <c r="Q82" i="3"/>
  <c r="Q74" i="3"/>
  <c r="Q80" i="3"/>
  <c r="Q38" i="3"/>
  <c r="Q56" i="3"/>
  <c r="Q75" i="3"/>
  <c r="Q53" i="3"/>
  <c r="Q78" i="3"/>
  <c r="Q69" i="3"/>
  <c r="Q57" i="3"/>
  <c r="Q66" i="3"/>
  <c r="Q40" i="3"/>
  <c r="Q59" i="3"/>
  <c r="Q62" i="3"/>
  <c r="Q19" i="3"/>
  <c r="Q52" i="3"/>
  <c r="Q41" i="3"/>
  <c r="Q60" i="3"/>
  <c r="Q61" i="3"/>
  <c r="Q36" i="3"/>
  <c r="Q42" i="3"/>
  <c r="Q51" i="3"/>
  <c r="Q46" i="3"/>
  <c r="Q2" i="3"/>
  <c r="Q24" i="3"/>
  <c r="Q23" i="3"/>
  <c r="Q44" i="3"/>
  <c r="Q17" i="3"/>
  <c r="Q45" i="3"/>
  <c r="Q32" i="3"/>
  <c r="Q25" i="3"/>
  <c r="Q31" i="3"/>
  <c r="Q3" i="3"/>
  <c r="Q30" i="3"/>
  <c r="Q16" i="3"/>
  <c r="Q7" i="3"/>
  <c r="Q13" i="3"/>
  <c r="Q27" i="3"/>
  <c r="Q26" i="3"/>
  <c r="Q6" i="3"/>
  <c r="Q12" i="3"/>
  <c r="Q10" i="3"/>
  <c r="Q11" i="3"/>
  <c r="Q12" i="2"/>
  <c r="Q89" i="3"/>
  <c r="Q84" i="3"/>
  <c r="Q81" i="3"/>
  <c r="Q79" i="3"/>
  <c r="Q76" i="3"/>
  <c r="Q72" i="3"/>
  <c r="Q68" i="3"/>
  <c r="Q67" i="3"/>
  <c r="Q64" i="3"/>
  <c r="Q58" i="3"/>
  <c r="Q54" i="3"/>
  <c r="Q49" i="3"/>
  <c r="Q48" i="3"/>
  <c r="Q47" i="3"/>
  <c r="Q43" i="3"/>
  <c r="Q39" i="3"/>
  <c r="Q34" i="3"/>
  <c r="Q33" i="3"/>
  <c r="Q29" i="3"/>
  <c r="Q28" i="3"/>
  <c r="Q22" i="3"/>
  <c r="Q18" i="3"/>
  <c r="Q14" i="3"/>
  <c r="Q9" i="3"/>
  <c r="Q5" i="3"/>
  <c r="Q4" i="3"/>
  <c r="Q80" i="2" l="1"/>
  <c r="Q47" i="2"/>
  <c r="Q32" i="2"/>
  <c r="Q56" i="2"/>
  <c r="Q73" i="2"/>
  <c r="Q24" i="2"/>
  <c r="Q27" i="2"/>
  <c r="Q44" i="2"/>
  <c r="Q30" i="2"/>
  <c r="Q11" i="2"/>
  <c r="Q85" i="2"/>
  <c r="Q40" i="2"/>
  <c r="Q59" i="2"/>
  <c r="Q74" i="2"/>
  <c r="Q22" i="2"/>
  <c r="Q13" i="2"/>
  <c r="Q53" i="2"/>
  <c r="Q64" i="2"/>
  <c r="Q72" i="2"/>
  <c r="Q89" i="2"/>
  <c r="Q4" i="2"/>
  <c r="Q10" i="2" l="1"/>
  <c r="Q20" i="2"/>
  <c r="Q8" i="3"/>
  <c r="Q15" i="3"/>
  <c r="Q20" i="3"/>
  <c r="Q2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<sst xmlns="http://schemas.openxmlformats.org/spreadsheetml/2006/main" count="1266" uniqueCount="119">
  <si>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</si>
  <si>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</si>
  <si>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</si>
  <si>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</si>
  <si>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</si>
  <si>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</si>
  <si>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</si>
  <si>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</si>
  <si>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</si>
  <si>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</si>
  <si>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</si>
  <si>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</si>
  <si>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</si>
  <si>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</si>
  <si>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Prover9 test set_1</t>
  </si>
  <si>
    <t>1</t>
  </si>
  <si>
    <t>timeout</t>
  </si>
  <si>
    <t>satisfiable</t>
  </si>
  <si>
    <t>unsatisfiable</t>
  </si>
  <si>
    <t>SPASS</t>
  </si>
  <si>
    <t>SPASS test set_1</t>
  </si>
  <si>
    <t>program_name.test_cases.input.path</t>
  </si>
  <si>
    <t>program_name.test_cases.input.SAT_type</t>
  </si>
  <si>
    <t>program_name.test_cases.input.format</t>
  </si>
  <si>
    <t>Conjunctive Normal Form</t>
  </si>
  <si>
    <t>TPTP</t>
  </si>
  <si>
    <t>Prover9 test set_2</t>
  </si>
  <si>
    <t>/home/mat/studia-repos/studio-projektowe/proversBenchmark-przemcom/../logit-formula-generator/test_data/data_set_1/dataset1_100_2.p</t>
  </si>
  <si>
    <t>/home/mat/studia-repos/studio-projektowe/proversBenchmark-przemcom/../logit-formula-generator/test_data/data_set_1/dataset1_1000_10.p</t>
  </si>
  <si>
    <t>/home/mat/studia-repos/studio-projektowe/proversBenchmark-przemcom/../logit-formula-generator/test_data/data_set_1/dataset1_1000_4.p</t>
  </si>
  <si>
    <t>/home/mat/studia-repos/studio-projektowe/proversBenchmark-przemcom/../logit-formula-generator/test_data/data_set_1/dataset1_1000_3.p</t>
  </si>
  <si>
    <t>/home/mat/studia-repos/studio-projektowe/proversBenchmark-przemcom/../logit-formula-generator/test_data/data_set_1/dataset1_2500_4.p</t>
  </si>
  <si>
    <t>/home/mat/studia-repos/studio-projektowe/proversBenchmark-przemcom/../logit-formula-generator/test_data/data_set_1/dataset1_500_4.p</t>
  </si>
  <si>
    <t>/home/mat/studia-repos/studio-projektowe/proversBenchmark-przemcom/../logit-formula-generator/test_data/data_set_1/dataset1_5000_5.p</t>
  </si>
  <si>
    <t>/home/mat/studia-repos/studio-projektowe/proversBenchmark-przemcom/../logit-formula-generator/test_data/data_set_1/dataset1_5000_3.p</t>
  </si>
  <si>
    <t>/home/mat/studia-repos/studio-projektowe/proversBenchmark-przemcom/../logit-formula-generator/test_data/data_set_1/dataset1_200_10.p</t>
  </si>
  <si>
    <t>/home/mat/studia-repos/studio-projektowe/proversBenchmark-przemcom/../logit-formula-generator/test_data/data_set_1/dataset1_200_2.p</t>
  </si>
  <si>
    <t>/home/mat/studia-repos/studio-projektowe/proversBenchmark-przemcom/../logit-formula-generator/test_data/data_set_1/dataset1_100_4.p</t>
  </si>
  <si>
    <t>/home/mat/studia-repos/studio-projektowe/proversBenchmark-przemcom/../logit-formula-generator/test_data/data_set_1/dataset1_2500_2.p</t>
  </si>
  <si>
    <t>/home/mat/studia-repos/studio-projektowe/proversBenchmark-przemcom/../logit-formula-generator/test_data/data_set_1/dataset1_500_5.p</t>
  </si>
  <si>
    <t>/home/mat/studia-repos/studio-projektowe/proversBenchmark-przemcom/../logit-formula-generator/test_data/data_set_1/dataset1_5000_4.p</t>
  </si>
  <si>
    <t>/home/mat/studia-repos/studio-projektowe/proversBenchmark-przemcom/../logit-formula-generator/test_data/data_set_1/dataset1_200_5.p</t>
  </si>
  <si>
    <t>/home/mat/studia-repos/studio-projektowe/proversBenchmark-przemcom/../logit-formula-generator/test_data/data_set_1/dataset1_2500_5.p</t>
  </si>
  <si>
    <t>/home/mat/studia-repos/studio-projektowe/proversBenchmark-przemcom/../logit-formula-generator/test_data/data_set_1/dataset1_2500_3.p</t>
  </si>
  <si>
    <t>/home/mat/studia-repos/studio-projektowe/proversBenchmark-przemcom/../logit-formula-generator/test_data/data_set_1/dataset1_100_3.p</t>
  </si>
  <si>
    <t>/home/mat/studia-repos/studio-projektowe/proversBenchmark-przemcom/../logit-formula-generator/test_data/data_set_1/dataset1_5000_10.p</t>
  </si>
  <si>
    <t>/home/mat/studia-repos/studio-projektowe/proversBenchmark-przemcom/../logit-formula-generator/test_data/data_set_1/dataset1_2500_10.p</t>
  </si>
  <si>
    <t>/home/mat/studia-repos/studio-projektowe/proversBenchmark-przemcom/../logit-formula-generator/test_data/data_set_1/dataset1_200_4.p</t>
  </si>
  <si>
    <t>/home/mat/studia-repos/studio-projektowe/proversBenchmark-przemcom/../logit-formula-generator/test_data/data_set_1/dataset1_100_10.p</t>
  </si>
  <si>
    <t>/home/mat/studia-repos/studio-projektowe/proversBenchmark-przemcom/../logit-formula-generator/test_data/data_set_1/dataset1_200_3.p</t>
  </si>
  <si>
    <t>/home/mat/studia-repos/studio-projektowe/proversBenchmark-przemcom/../logit-formula-generator/test_data/data_set_1/dataset1_100_5.p</t>
  </si>
  <si>
    <t>/home/mat/studia-repos/studio-projektowe/proversBenchmark-przemcom/../logit-formula-generator/test_data/data_set_1/dataset1_1000_5.p</t>
  </si>
  <si>
    <t>/home/mat/studia-repos/studio-projektowe/proversBenchmark-przemcom/../logit-formula-generator/test_data/data_set_1/dataset1_1000_2.p</t>
  </si>
  <si>
    <t>/home/mat/studia-repos/studio-projektowe/proversBenchmark-przemcom/../logit-formula-generator/test_data/data_set_1/dataset1_500_2.p</t>
  </si>
  <si>
    <t>/home/mat/studia-repos/studio-projektowe/proversBenchmark-przemcom/../logit-formula-generator/test_data/data_set_1/dataset1_500_3.p</t>
  </si>
  <si>
    <t>/home/mat/studia-repos/studio-projektowe/proversBenchmark-przemcom/../logit-formula-generator/test_data/data_set_1/dataset1_500_10.p</t>
  </si>
  <si>
    <t>/home/mat/studia-repos/studio-projektowe/proversBenchmark-przemcom/../logit-formula-generator/test_data/data_set_1/dataset1_5000_2.p</t>
  </si>
  <si>
    <t>/home/mat/studia-repos/studio-projektowe/proversBenchmark-przemcom/../logit-formula-generator/test_data/data_set_2/dataset2_1000_3:1.p</t>
  </si>
  <si>
    <t>/home/mat/studia-repos/studio-projektowe/proversBenchmark-przemcom/../logit-formula-generator/test_data/data_set_2/dataset2_5000_4:1.p</t>
  </si>
  <si>
    <t>/home/mat/studia-repos/studio-projektowe/proversBenchmark-przemcom/../logit-formula-generator/test_data/data_set_2/dataset2_500_3:1.p</t>
  </si>
  <si>
    <t>/home/mat/studia-repos/studio-projektowe/proversBenchmark-przemcom/../logit-formula-generator/test_data/data_set_2/dataset2_2500_10:1.p</t>
  </si>
  <si>
    <t>/home/mat/studia-repos/studio-projektowe/proversBenchmark-przemcom/../logit-formula-generator/test_data/data_set_2/dataset2_1000_10:1.p</t>
  </si>
  <si>
    <t>/home/mat/studia-repos/studio-projektowe/proversBenchmark-przemcom/../logit-formula-generator/test_data/data_set_2/dataset2_5000_1:10.p</t>
  </si>
  <si>
    <t>/home/mat/studia-repos/studio-projektowe/proversBenchmark-przemcom/../logit-formula-generator/test_data/data_set_2/dataset2_500_1:3.p</t>
  </si>
  <si>
    <t>/home/mat/studia-repos/studio-projektowe/proversBenchmark-przemcom/../logit-formula-generator/test_data/data_set_2/dataset2_500_4:1.p</t>
  </si>
  <si>
    <t>/home/mat/studia-repos/studio-projektowe/proversBenchmark-przemcom/../logit-formula-generator/test_data/data_set_2/dataset2_200_5:1.p</t>
  </si>
  <si>
    <t>/home/mat/studia-repos/studio-projektowe/proversBenchmark-przemcom/../logit-formula-generator/test_data/data_set_2/dataset2_100_4:1.p</t>
  </si>
  <si>
    <t>/home/mat/studia-repos/studio-projektowe/proversBenchmark-przemcom/../logit-formula-generator/test_data/data_set_2/dataset2_5000_3:1.p</t>
  </si>
  <si>
    <t>/home/mat/studia-repos/studio-projektowe/proversBenchmark-przemcom/../logit-formula-generator/test_data/data_set_2/dataset2_1000_1:3.p</t>
  </si>
  <si>
    <t>/home/mat/studia-repos/studio-projektowe/proversBenchmark-przemcom/../logit-formula-generator/test_data/data_set_2/dataset2_200_1:3.p</t>
  </si>
  <si>
    <t>/home/mat/studia-repos/studio-projektowe/proversBenchmark-przemcom/../logit-formula-generator/test_data/data_set_2/dataset2_1000_1:4.p</t>
  </si>
  <si>
    <t>/home/mat/studia-repos/studio-projektowe/proversBenchmark-przemcom/../logit-formula-generator/test_data/data_set_2/dataset2_1000_4:1.p</t>
  </si>
  <si>
    <t>/home/mat/studia-repos/studio-projektowe/proversBenchmark-przemcom/../logit-formula-generator/test_data/data_set_2/dataset2_2500_1:2.p</t>
  </si>
  <si>
    <t>/home/mat/studia-repos/studio-projektowe/proversBenchmark-przemcom/../logit-formula-generator/test_data/data_set_2/dataset2_500_10:1.p</t>
  </si>
  <si>
    <t>/home/mat/studia-repos/studio-projektowe/proversBenchmark-przemcom/../logit-formula-generator/test_data/data_set_2/dataset2_200_1:2.p</t>
  </si>
  <si>
    <t>/home/mat/studia-repos/studio-projektowe/proversBenchmark-przemcom/../logit-formula-generator/test_data/data_set_2/dataset2_5000_1:4.p</t>
  </si>
  <si>
    <t>/home/mat/studia-repos/studio-projektowe/proversBenchmark-przemcom/../logit-formula-generator/test_data/data_set_2/dataset2_500_1:4.p</t>
  </si>
  <si>
    <t>/home/mat/studia-repos/studio-projektowe/proversBenchmark-przemcom/../logit-formula-generator/test_data/data_set_2/dataset2_100_3:1.p</t>
  </si>
  <si>
    <t>/home/mat/studia-repos/studio-projektowe/proversBenchmark-przemcom/../logit-formula-generator/test_data/data_set_2/dataset2_200_4:1.p</t>
  </si>
  <si>
    <t>/home/mat/studia-repos/studio-projektowe/proversBenchmark-przemcom/../logit-formula-generator/test_data/data_set_2/dataset2_1000_1:5.p</t>
  </si>
  <si>
    <t>/home/mat/studia-repos/studio-projektowe/proversBenchmark-przemcom/../logit-formula-generator/test_data/data_set_2/dataset2_500_5:1.p</t>
  </si>
  <si>
    <t>/home/mat/studia-repos/studio-projektowe/proversBenchmark-przemcom/../logit-formula-generator/test_data/data_set_2/dataset2_200_1:4.p</t>
  </si>
  <si>
    <t>/home/mat/studia-repos/studio-projektowe/proversBenchmark-przemcom/../logit-formula-generator/test_data/data_set_2/dataset2_100_1:2.p</t>
  </si>
  <si>
    <t>/home/mat/studia-repos/studio-projektowe/proversBenchmark-przemcom/../logit-formula-generator/test_data/data_set_2/dataset2_100_10:1.p</t>
  </si>
  <si>
    <t>/home/mat/studia-repos/studio-projektowe/proversBenchmark-przemcom/../logit-formula-generator/test_data/data_set_2/dataset2_100_1:5.p</t>
  </si>
  <si>
    <t>/home/mat/studia-repos/studio-projektowe/proversBenchmark-przemcom/../logit-formula-generator/test_data/data_set_2/dataset2_200_1:10.p</t>
  </si>
  <si>
    <t>/home/mat/studia-repos/studio-projektowe/proversBenchmark-przemcom/../logit-formula-generator/test_data/data_set_2/dataset2_100_1:10.p</t>
  </si>
  <si>
    <t>/home/mat/studia-repos/studio-projektowe/proversBenchmark-przemcom/../logit-formula-generator/test_data/data_set_2/dataset2_100_1:4.p</t>
  </si>
  <si>
    <t>/home/mat/studia-repos/studio-projektowe/proversBenchmark-przemcom/../logit-formula-generator/test_data/data_set_2/dataset2_5000_10:1.p</t>
  </si>
  <si>
    <t>/home/mat/studia-repos/studio-projektowe/proversBenchmark-przemcom/../logit-formula-generator/test_data/data_set_2/dataset2_2500_2:1.p</t>
  </si>
  <si>
    <t>/home/mat/studia-repos/studio-projektowe/proversBenchmark-przemcom/../logit-formula-generator/test_data/data_set_2/dataset2_2500_1:10.p</t>
  </si>
  <si>
    <t>/home/mat/studia-repos/studio-projektowe/proversBenchmark-przemcom/../logit-formula-generator/test_data/data_set_2/dataset2_2500_1:4.p</t>
  </si>
  <si>
    <t>/home/mat/studia-repos/studio-projektowe/proversBenchmark-przemcom/../logit-formula-generator/test_data/data_set_2/dataset2_200_1:5.p</t>
  </si>
  <si>
    <t>/home/mat/studia-repos/studio-projektowe/proversBenchmark-przemcom/../logit-formula-generator/test_data/data_set_2/dataset2_1000_1:2.p</t>
  </si>
  <si>
    <t>/home/mat/studia-repos/studio-projektowe/proversBenchmark-przemcom/../logit-formula-generator/test_data/data_set_2/dataset2_500_2:1.p</t>
  </si>
  <si>
    <t>/home/mat/studia-repos/studio-projektowe/proversBenchmark-przemcom/../logit-formula-generator/test_data/data_set_2/dataset2_2500_1:5.p</t>
  </si>
  <si>
    <t>/home/mat/studia-repos/studio-projektowe/proversBenchmark-przemcom/../logit-formula-generator/test_data/data_set_2/dataset2_2500_3:1.p</t>
  </si>
  <si>
    <t>/home/mat/studia-repos/studio-projektowe/proversBenchmark-przemcom/../logit-formula-generator/test_data/data_set_2/dataset2_100_5:1.p</t>
  </si>
  <si>
    <t>/home/mat/studia-repos/studio-projektowe/proversBenchmark-przemcom/../logit-formula-generator/test_data/data_set_2/dataset2_100_2:1.p</t>
  </si>
  <si>
    <t>/home/mat/studia-repos/studio-projektowe/proversBenchmark-przemcom/../logit-formula-generator/test_data/data_set_2/dataset2_100_1:3.p</t>
  </si>
  <si>
    <t>/home/mat/studia-repos/studio-projektowe/proversBenchmark-przemcom/../logit-formula-generator/test_data/data_set_2/dataset2_2500_1:3.p</t>
  </si>
  <si>
    <t>/home/mat/studia-repos/studio-projektowe/proversBenchmark-przemcom/../logit-formula-generator/test_data/data_set_2/dataset2_200_10:1.p</t>
  </si>
  <si>
    <t>/home/mat/studia-repos/studio-projektowe/proversBenchmark-przemcom/../logit-formula-generator/test_data/data_set_2/dataset2_5000_5:1.p</t>
  </si>
  <si>
    <t>/home/mat/studia-repos/studio-projektowe/proversBenchmark-przemcom/../logit-formula-generator/test_data/data_set_2/dataset2_500_1:2.p</t>
  </si>
  <si>
    <t>/home/mat/studia-repos/studio-projektowe/proversBenchmark-przemcom/../logit-formula-generator/test_data/data_set_2/dataset2_1000_1:10.p</t>
  </si>
  <si>
    <t>/home/mat/studia-repos/studio-projektowe/proversBenchmark-przemcom/../logit-formula-generator/test_data/data_set_2/dataset2_1000_2:1.p</t>
  </si>
  <si>
    <t>/home/mat/studia-repos/studio-projektowe/proversBenchmark-przemcom/../logit-formula-generator/test_data/data_set_2/dataset2_5000_1:2.p</t>
  </si>
  <si>
    <t>/home/mat/studia-repos/studio-projektowe/proversBenchmark-przemcom/../logit-formula-generator/test_data/data_set_2/dataset2_200_3:1.p</t>
  </si>
  <si>
    <t>/home/mat/studia-repos/studio-projektowe/proversBenchmark-przemcom/../logit-formula-generator/test_data/data_set_2/dataset2_500_1:10.p</t>
  </si>
  <si>
    <t>/home/mat/studia-repos/studio-projektowe/proversBenchmark-przemcom/../logit-formula-generator/test_data/data_set_2/dataset2_2500_4:1.p</t>
  </si>
  <si>
    <t>/home/mat/studia-repos/studio-projektowe/proversBenchmark-przemcom/../logit-formula-generator/test_data/data_set_2/dataset2_200_2:1.p</t>
  </si>
  <si>
    <t>/home/mat/studia-repos/studio-projektowe/proversBenchmark-przemcom/../logit-formula-generator/test_data/data_set_2/dataset2_2500_5:1.p</t>
  </si>
  <si>
    <t>/home/mat/studia-repos/studio-projektowe/proversBenchmark-przemcom/../logit-formula-generator/test_data/data_set_2/dataset2_500_1:5.p</t>
  </si>
  <si>
    <t>/home/mat/studia-repos/studio-projektowe/proversBenchmark-przemcom/../logit-formula-generator/test_data/data_set_2/dataset2_5000_1:5.p</t>
  </si>
  <si>
    <t>/home/mat/studia-repos/studio-projektowe/proversBenchmark-przemcom/../logit-formula-generator/test_data/data_set_2/dataset2_1000_5:1.p</t>
  </si>
  <si>
    <t>/home/mat/studia-repos/studio-projektowe/proversBenchmark-przemcom/../logit-formula-generator/test_data/data_set_2/dataset2_5000_1:3.p</t>
  </si>
  <si>
    <t>/home/mat/studia-repos/studio-projektowe/proversBenchmark-przemcom/../logit-formula-generator/test_data/data_set_2/dataset2_5000_2:1.p</t>
  </si>
  <si>
    <t>SPASS test set_2</t>
  </si>
  <si>
    <t>safety  / liveness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</si>
</sst>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0"/>
    <numFmt numFmtId="166" formatCode="0.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17"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0-4142-BDF8-4B202546D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39912"/>
        <c:axId val="772839256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Prover9!$H$2:$H$91</c:f>
              <c:numCache>
                <c:formatCode>General</c:formatCode>
                <c:ptCount val="6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500</c:v>
                </c:pt>
                <c:pt idx="21">
                  <c:v>500</c:v>
                </c:pt>
                <c:pt idx="22" formatCode="0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1000</c:v>
                </c:pt>
                <c:pt idx="31">
                  <c:v>1000</c:v>
                </c:pt>
                <c:pt idx="32" formatCode="0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2500</c:v>
                </c:pt>
                <c:pt idx="41">
                  <c:v>2500</c:v>
                </c:pt>
                <c:pt idx="42">
                  <c:v>2500</c:v>
                </c:pt>
                <c:pt idx="43">
                  <c:v>2500</c:v>
                </c:pt>
                <c:pt idx="44">
                  <c:v>2500</c:v>
                </c:pt>
                <c:pt idx="45">
                  <c:v>2500</c:v>
                </c:pt>
                <c:pt idx="46">
                  <c:v>2500</c:v>
                </c:pt>
                <c:pt idx="47">
                  <c:v>2500</c:v>
                </c:pt>
                <c:pt idx="48">
                  <c:v>2500</c:v>
                </c:pt>
                <c:pt idx="49">
                  <c:v>2500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  <c:pt idx="53">
                  <c:v>5000</c:v>
                </c:pt>
                <c:pt idx="54">
                  <c:v>5000</c:v>
                </c:pt>
                <c:pt idx="55">
                  <c:v>5000</c:v>
                </c:pt>
                <c:pt idx="56">
                  <c:v>5000</c:v>
                </c:pt>
                <c:pt idx="57">
                  <c:v>5000</c:v>
                </c:pt>
                <c:pt idx="58">
                  <c:v>5000</c:v>
                </c:pt>
                <c:pt idx="59">
                  <c:v>5000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52128"/>
        <c:axId val="176771072"/>
      </c:lineChart>
      <c:catAx>
        <c:axId val="17675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71072"/>
        <c:crosses val="autoZero"/>
        <c:auto val="1"/>
        <c:lblAlgn val="ctr"/>
        <c:lblOffset val="100"/>
        <c:noMultiLvlLbl val="1"/>
      </c:catAx>
      <c:valAx>
        <c:axId val="17677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52128"/>
        <c:crosses val="autoZero"/>
        <c:crossBetween val="between"/>
      </c:valAx>
      <c:valAx>
        <c:axId val="7728392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39912"/>
        <c:crosses val="max"/>
        <c:crossBetween val="between"/>
      </c:valAx>
      <c:catAx>
        <c:axId val="77283991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92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0B-4FF1-B03C-CF1B8A322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51392"/>
        <c:axId val="772837616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Prover9!$H$2:$H$91</c:f>
              <c:numCache>
                <c:formatCode>General</c:formatCode>
                <c:ptCount val="6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500</c:v>
                </c:pt>
                <c:pt idx="21">
                  <c:v>500</c:v>
                </c:pt>
                <c:pt idx="22" formatCode="0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1000</c:v>
                </c:pt>
                <c:pt idx="31">
                  <c:v>1000</c:v>
                </c:pt>
                <c:pt idx="32" formatCode="0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2500</c:v>
                </c:pt>
                <c:pt idx="41">
                  <c:v>2500</c:v>
                </c:pt>
                <c:pt idx="42">
                  <c:v>2500</c:v>
                </c:pt>
                <c:pt idx="43">
                  <c:v>2500</c:v>
                </c:pt>
                <c:pt idx="44">
                  <c:v>2500</c:v>
                </c:pt>
                <c:pt idx="45">
                  <c:v>2500</c:v>
                </c:pt>
                <c:pt idx="46">
                  <c:v>2500</c:v>
                </c:pt>
                <c:pt idx="47">
                  <c:v>2500</c:v>
                </c:pt>
                <c:pt idx="48">
                  <c:v>2500</c:v>
                </c:pt>
                <c:pt idx="49">
                  <c:v>2500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  <c:pt idx="53">
                  <c:v>5000</c:v>
                </c:pt>
                <c:pt idx="54">
                  <c:v>5000</c:v>
                </c:pt>
                <c:pt idx="55">
                  <c:v>5000</c:v>
                </c:pt>
                <c:pt idx="56">
                  <c:v>5000</c:v>
                </c:pt>
                <c:pt idx="57">
                  <c:v>5000</c:v>
                </c:pt>
                <c:pt idx="58">
                  <c:v>5000</c:v>
                </c:pt>
                <c:pt idx="59">
                  <c:v>5000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50016"/>
        <c:axId val="196152320"/>
      </c:lineChart>
      <c:catAx>
        <c:axId val="19615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2320"/>
        <c:crosses val="autoZero"/>
        <c:auto val="1"/>
        <c:lblAlgn val="ctr"/>
        <c:lblOffset val="100"/>
        <c:noMultiLvlLbl val="0"/>
      </c:catAx>
      <c:valAx>
        <c:axId val="19615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0016"/>
        <c:crosses val="autoZero"/>
        <c:crossBetween val="between"/>
      </c:valAx>
      <c:valAx>
        <c:axId val="7728376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51392"/>
        <c:crosses val="max"/>
        <c:crossBetween val="between"/>
      </c:valAx>
      <c:catAx>
        <c:axId val="7728513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76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C-4C74-A8F1-19980572E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50080"/>
        <c:axId val="77285336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Prover9!$I$2:$I$91</c:f>
              <c:numCache>
                <c:formatCode>0.00</c:formatCode>
                <c:ptCount val="60"/>
                <c:pt idx="0">
                  <c:v>1000</c:v>
                </c:pt>
                <c:pt idx="1">
                  <c:v>500</c:v>
                </c:pt>
                <c:pt idx="2" formatCode="General">
                  <c:v>400</c:v>
                </c:pt>
                <c:pt idx="3" formatCode="General">
                  <c:v>300</c:v>
                </c:pt>
                <c:pt idx="4" formatCode="General">
                  <c:v>200</c:v>
                </c:pt>
                <c:pt idx="5" formatCode="General">
                  <c:v>200</c:v>
                </c:pt>
                <c:pt idx="6">
                  <c:v>300</c:v>
                </c:pt>
                <c:pt idx="7">
                  <c:v>400</c:v>
                </c:pt>
                <c:pt idx="8" formatCode="General">
                  <c:v>500</c:v>
                </c:pt>
                <c:pt idx="9" formatCode="General">
                  <c:v>1000</c:v>
                </c:pt>
                <c:pt idx="10" formatCode="General">
                  <c:v>2000</c:v>
                </c:pt>
                <c:pt idx="11" formatCode="General">
                  <c:v>1000</c:v>
                </c:pt>
                <c:pt idx="12">
                  <c:v>800</c:v>
                </c:pt>
                <c:pt idx="13" formatCode="General">
                  <c:v>600</c:v>
                </c:pt>
                <c:pt idx="14">
                  <c:v>400</c:v>
                </c:pt>
                <c:pt idx="15" formatCode="General">
                  <c:v>400</c:v>
                </c:pt>
                <c:pt idx="16" formatCode="General">
                  <c:v>600</c:v>
                </c:pt>
                <c:pt idx="17" formatCode="General">
                  <c:v>800</c:v>
                </c:pt>
                <c:pt idx="18" formatCode="General">
                  <c:v>1000</c:v>
                </c:pt>
                <c:pt idx="19" formatCode="General">
                  <c:v>2000</c:v>
                </c:pt>
                <c:pt idx="20" formatCode="General">
                  <c:v>5000</c:v>
                </c:pt>
                <c:pt idx="21">
                  <c:v>2500</c:v>
                </c:pt>
                <c:pt idx="22" formatCode="0">
                  <c:v>2000</c:v>
                </c:pt>
                <c:pt idx="23" formatCode="General">
                  <c:v>1500</c:v>
                </c:pt>
                <c:pt idx="24">
                  <c:v>1000</c:v>
                </c:pt>
                <c:pt idx="25">
                  <c:v>1000</c:v>
                </c:pt>
                <c:pt idx="26" formatCode="General">
                  <c:v>1500</c:v>
                </c:pt>
                <c:pt idx="27">
                  <c:v>2000</c:v>
                </c:pt>
                <c:pt idx="28" formatCode="General">
                  <c:v>2500</c:v>
                </c:pt>
                <c:pt idx="29" formatCode="General">
                  <c:v>5000</c:v>
                </c:pt>
                <c:pt idx="30" formatCode="General">
                  <c:v>10000</c:v>
                </c:pt>
                <c:pt idx="31" formatCode="General">
                  <c:v>5000</c:v>
                </c:pt>
                <c:pt idx="32" formatCode="0">
                  <c:v>4000</c:v>
                </c:pt>
                <c:pt idx="33" formatCode="General">
                  <c:v>3000</c:v>
                </c:pt>
                <c:pt idx="34" formatCode="General">
                  <c:v>2000</c:v>
                </c:pt>
                <c:pt idx="35" formatCode="General">
                  <c:v>2000</c:v>
                </c:pt>
                <c:pt idx="36" formatCode="General">
                  <c:v>3000</c:v>
                </c:pt>
                <c:pt idx="37" formatCode="General">
                  <c:v>4000</c:v>
                </c:pt>
                <c:pt idx="38">
                  <c:v>5000</c:v>
                </c:pt>
                <c:pt idx="39" formatCode="General">
                  <c:v>10000</c:v>
                </c:pt>
                <c:pt idx="40" formatCode="General">
                  <c:v>25000</c:v>
                </c:pt>
                <c:pt idx="41" formatCode="General">
                  <c:v>12500</c:v>
                </c:pt>
                <c:pt idx="42">
                  <c:v>10000</c:v>
                </c:pt>
                <c:pt idx="43" formatCode="General">
                  <c:v>7500</c:v>
                </c:pt>
                <c:pt idx="44" formatCode="General">
                  <c:v>5000</c:v>
                </c:pt>
                <c:pt idx="45">
                  <c:v>5000</c:v>
                </c:pt>
                <c:pt idx="46" formatCode="General">
                  <c:v>7500</c:v>
                </c:pt>
                <c:pt idx="47" formatCode="General">
                  <c:v>10000</c:v>
                </c:pt>
                <c:pt idx="48" formatCode="General">
                  <c:v>12500</c:v>
                </c:pt>
                <c:pt idx="49" formatCode="General">
                  <c:v>25000</c:v>
                </c:pt>
                <c:pt idx="50">
                  <c:v>50000</c:v>
                </c:pt>
                <c:pt idx="51" formatCode="General">
                  <c:v>25000</c:v>
                </c:pt>
                <c:pt idx="52" formatCode="General">
                  <c:v>20000</c:v>
                </c:pt>
                <c:pt idx="53">
                  <c:v>15000</c:v>
                </c:pt>
                <c:pt idx="54">
                  <c:v>10000</c:v>
                </c:pt>
                <c:pt idx="55" formatCode="General">
                  <c:v>15000</c:v>
                </c:pt>
                <c:pt idx="56">
                  <c:v>20000</c:v>
                </c:pt>
                <c:pt idx="57" formatCode="General">
                  <c:v>25000</c:v>
                </c:pt>
                <c:pt idx="58">
                  <c:v>50000</c:v>
                </c:pt>
                <c:pt idx="59" formatCode="General">
                  <c:v>10000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54112"/>
        <c:axId val="197838720"/>
      </c:lineChart>
      <c:catAx>
        <c:axId val="19655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38720"/>
        <c:crosses val="autoZero"/>
        <c:auto val="1"/>
        <c:lblAlgn val="ctr"/>
        <c:lblOffset val="100"/>
        <c:noMultiLvlLbl val="1"/>
      </c:catAx>
      <c:valAx>
        <c:axId val="19783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54112"/>
        <c:crosses val="autoZero"/>
        <c:crossBetween val="between"/>
      </c:valAx>
      <c:valAx>
        <c:axId val="77285336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50080"/>
        <c:crosses val="max"/>
        <c:crossBetween val="between"/>
      </c:valAx>
      <c:catAx>
        <c:axId val="77285008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533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A-4405-A88D-9FDD74705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55984"/>
        <c:axId val="772854344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Prover9!$K$2:$K$91</c:f>
              <c:numCache>
                <c:formatCode>0.00</c:formatCode>
                <c:ptCount val="60"/>
                <c:pt idx="0">
                  <c:v>635</c:v>
                </c:pt>
                <c:pt idx="1">
                  <c:v>315</c:v>
                </c:pt>
                <c:pt idx="2" formatCode="General">
                  <c:v>258</c:v>
                </c:pt>
                <c:pt idx="3" formatCode="General">
                  <c:v>195</c:v>
                </c:pt>
                <c:pt idx="4" formatCode="General">
                  <c:v>127</c:v>
                </c:pt>
                <c:pt idx="5" formatCode="General">
                  <c:v>122</c:v>
                </c:pt>
                <c:pt idx="6">
                  <c:v>190</c:v>
                </c:pt>
                <c:pt idx="7">
                  <c:v>248</c:v>
                </c:pt>
                <c:pt idx="8" formatCode="General">
                  <c:v>320</c:v>
                </c:pt>
                <c:pt idx="9" formatCode="General">
                  <c:v>617</c:v>
                </c:pt>
                <c:pt idx="10" formatCode="General">
                  <c:v>1258</c:v>
                </c:pt>
                <c:pt idx="11" formatCode="General">
                  <c:v>620</c:v>
                </c:pt>
                <c:pt idx="12">
                  <c:v>492</c:v>
                </c:pt>
                <c:pt idx="13" formatCode="General">
                  <c:v>372</c:v>
                </c:pt>
                <c:pt idx="14">
                  <c:v>244</c:v>
                </c:pt>
                <c:pt idx="15" formatCode="General">
                  <c:v>244</c:v>
                </c:pt>
                <c:pt idx="16" formatCode="General">
                  <c:v>377</c:v>
                </c:pt>
                <c:pt idx="17" formatCode="General">
                  <c:v>481</c:v>
                </c:pt>
                <c:pt idx="18" formatCode="General">
                  <c:v>624</c:v>
                </c:pt>
                <c:pt idx="19" formatCode="General">
                  <c:v>1243</c:v>
                </c:pt>
                <c:pt idx="20" formatCode="General">
                  <c:v>3145</c:v>
                </c:pt>
                <c:pt idx="21">
                  <c:v>1580</c:v>
                </c:pt>
                <c:pt idx="22" formatCode="0">
                  <c:v>1253</c:v>
                </c:pt>
                <c:pt idx="23" formatCode="General">
                  <c:v>940</c:v>
                </c:pt>
                <c:pt idx="24">
                  <c:v>629</c:v>
                </c:pt>
                <c:pt idx="25">
                  <c:v>619</c:v>
                </c:pt>
                <c:pt idx="26" formatCode="General">
                  <c:v>935</c:v>
                </c:pt>
                <c:pt idx="27">
                  <c:v>1244</c:v>
                </c:pt>
                <c:pt idx="28" formatCode="General">
                  <c:v>1567</c:v>
                </c:pt>
                <c:pt idx="29" formatCode="General">
                  <c:v>3129</c:v>
                </c:pt>
                <c:pt idx="30" formatCode="General">
                  <c:v>6297</c:v>
                </c:pt>
                <c:pt idx="31" formatCode="General">
                  <c:v>3122</c:v>
                </c:pt>
                <c:pt idx="32" formatCode="0">
                  <c:v>2482</c:v>
                </c:pt>
                <c:pt idx="33" formatCode="General">
                  <c:v>1869</c:v>
                </c:pt>
                <c:pt idx="34" formatCode="General">
                  <c:v>1273</c:v>
                </c:pt>
                <c:pt idx="35" formatCode="General">
                  <c:v>1276</c:v>
                </c:pt>
                <c:pt idx="36" formatCode="General">
                  <c:v>1895</c:v>
                </c:pt>
                <c:pt idx="37" formatCode="General">
                  <c:v>2498</c:v>
                </c:pt>
                <c:pt idx="38">
                  <c:v>3118</c:v>
                </c:pt>
                <c:pt idx="39" formatCode="General">
                  <c:v>6228</c:v>
                </c:pt>
                <c:pt idx="40" formatCode="General">
                  <c:v>15550</c:v>
                </c:pt>
                <c:pt idx="41" formatCode="General">
                  <c:v>7770</c:v>
                </c:pt>
                <c:pt idx="42">
                  <c:v>6294</c:v>
                </c:pt>
                <c:pt idx="43" formatCode="General">
                  <c:v>4690</c:v>
                </c:pt>
                <c:pt idx="44" formatCode="General">
                  <c:v>3090</c:v>
                </c:pt>
                <c:pt idx="45">
                  <c:v>3172</c:v>
                </c:pt>
                <c:pt idx="46" formatCode="General">
                  <c:v>4713</c:v>
                </c:pt>
                <c:pt idx="47" formatCode="General">
                  <c:v>6276</c:v>
                </c:pt>
                <c:pt idx="48" formatCode="General">
                  <c:v>7835</c:v>
                </c:pt>
                <c:pt idx="49" formatCode="General">
                  <c:v>15591</c:v>
                </c:pt>
                <c:pt idx="50">
                  <c:v>31247</c:v>
                </c:pt>
                <c:pt idx="51" formatCode="General">
                  <c:v>15636</c:v>
                </c:pt>
                <c:pt idx="52" formatCode="General">
                  <c:v>12544</c:v>
                </c:pt>
                <c:pt idx="53">
                  <c:v>9306</c:v>
                </c:pt>
                <c:pt idx="54">
                  <c:v>6251</c:v>
                </c:pt>
                <c:pt idx="55" formatCode="General">
                  <c:v>9405</c:v>
                </c:pt>
                <c:pt idx="56">
                  <c:v>12515</c:v>
                </c:pt>
                <c:pt idx="57" formatCode="General">
                  <c:v>15541</c:v>
                </c:pt>
                <c:pt idx="58">
                  <c:v>31172</c:v>
                </c:pt>
                <c:pt idx="59" formatCode="General">
                  <c:v>6295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91552"/>
        <c:axId val="206398208"/>
      </c:lineChart>
      <c:catAx>
        <c:axId val="20639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8208"/>
        <c:crosses val="autoZero"/>
        <c:auto val="1"/>
        <c:lblAlgn val="ctr"/>
        <c:lblOffset val="100"/>
        <c:noMultiLvlLbl val="1"/>
      </c:catAx>
      <c:valAx>
        <c:axId val="2063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1552"/>
        <c:crosses val="autoZero"/>
        <c:crossBetween val="between"/>
      </c:valAx>
      <c:valAx>
        <c:axId val="7728543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55984"/>
        <c:crosses val="max"/>
        <c:crossBetween val="between"/>
      </c:valAx>
      <c:catAx>
        <c:axId val="77285598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54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C-4C93-9D34-455D36A03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29416"/>
        <c:axId val="772856968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Prover9!$L$2:$L$91</c:f>
              <c:numCache>
                <c:formatCode>0.00</c:formatCode>
                <c:ptCount val="60"/>
                <c:pt idx="0">
                  <c:v>896</c:v>
                </c:pt>
                <c:pt idx="1">
                  <c:v>406</c:v>
                </c:pt>
                <c:pt idx="2" formatCode="General">
                  <c:v>318</c:v>
                </c:pt>
                <c:pt idx="3" formatCode="General">
                  <c:v>213</c:v>
                </c:pt>
                <c:pt idx="4" formatCode="General">
                  <c:v>133</c:v>
                </c:pt>
                <c:pt idx="5" formatCode="General">
                  <c:v>66</c:v>
                </c:pt>
                <c:pt idx="6">
                  <c:v>78</c:v>
                </c:pt>
                <c:pt idx="7">
                  <c:v>77</c:v>
                </c:pt>
                <c:pt idx="8" formatCode="General">
                  <c:v>73</c:v>
                </c:pt>
                <c:pt idx="9" formatCode="General">
                  <c:v>82</c:v>
                </c:pt>
                <c:pt idx="10" formatCode="General">
                  <c:v>1829</c:v>
                </c:pt>
                <c:pt idx="11" formatCode="General">
                  <c:v>825</c:v>
                </c:pt>
                <c:pt idx="12">
                  <c:v>634</c:v>
                </c:pt>
                <c:pt idx="13" formatCode="General">
                  <c:v>450</c:v>
                </c:pt>
                <c:pt idx="14">
                  <c:v>270</c:v>
                </c:pt>
                <c:pt idx="15" formatCode="General">
                  <c:v>134</c:v>
                </c:pt>
                <c:pt idx="16" formatCode="General">
                  <c:v>162</c:v>
                </c:pt>
                <c:pt idx="17" formatCode="General">
                  <c:v>183</c:v>
                </c:pt>
                <c:pt idx="18" formatCode="General">
                  <c:v>162</c:v>
                </c:pt>
                <c:pt idx="19" formatCode="General">
                  <c:v>182</c:v>
                </c:pt>
                <c:pt idx="20" formatCode="General">
                  <c:v>4522</c:v>
                </c:pt>
                <c:pt idx="21">
                  <c:v>2067</c:v>
                </c:pt>
                <c:pt idx="22" formatCode="0">
                  <c:v>1598</c:v>
                </c:pt>
                <c:pt idx="23" formatCode="General">
                  <c:v>1134</c:v>
                </c:pt>
                <c:pt idx="24">
                  <c:v>640</c:v>
                </c:pt>
                <c:pt idx="25">
                  <c:v>347</c:v>
                </c:pt>
                <c:pt idx="26" formatCode="General">
                  <c:v>365</c:v>
                </c:pt>
                <c:pt idx="27">
                  <c:v>415</c:v>
                </c:pt>
                <c:pt idx="28" formatCode="General">
                  <c:v>400</c:v>
                </c:pt>
                <c:pt idx="29" formatCode="General">
                  <c:v>491</c:v>
                </c:pt>
                <c:pt idx="30" formatCode="General">
                  <c:v>9060</c:v>
                </c:pt>
                <c:pt idx="31" formatCode="General">
                  <c:v>4156</c:v>
                </c:pt>
                <c:pt idx="32" formatCode="0">
                  <c:v>3172</c:v>
                </c:pt>
                <c:pt idx="33" formatCode="General">
                  <c:v>2266</c:v>
                </c:pt>
                <c:pt idx="34" formatCode="General">
                  <c:v>1346</c:v>
                </c:pt>
                <c:pt idx="35" formatCode="General">
                  <c:v>667</c:v>
                </c:pt>
                <c:pt idx="36" formatCode="General">
                  <c:v>763</c:v>
                </c:pt>
                <c:pt idx="37" formatCode="General">
                  <c:v>836</c:v>
                </c:pt>
                <c:pt idx="38">
                  <c:v>834</c:v>
                </c:pt>
                <c:pt idx="39" formatCode="General">
                  <c:v>931</c:v>
                </c:pt>
                <c:pt idx="40" formatCode="General">
                  <c:v>22695</c:v>
                </c:pt>
                <c:pt idx="41" formatCode="General">
                  <c:v>10380</c:v>
                </c:pt>
                <c:pt idx="42">
                  <c:v>8013</c:v>
                </c:pt>
                <c:pt idx="43" formatCode="General">
                  <c:v>5598</c:v>
                </c:pt>
                <c:pt idx="44" formatCode="General">
                  <c:v>3332</c:v>
                </c:pt>
                <c:pt idx="45">
                  <c:v>1664</c:v>
                </c:pt>
                <c:pt idx="46" formatCode="General">
                  <c:v>1893</c:v>
                </c:pt>
                <c:pt idx="47" formatCode="General">
                  <c:v>1998</c:v>
                </c:pt>
                <c:pt idx="48" formatCode="General">
                  <c:v>2087</c:v>
                </c:pt>
                <c:pt idx="49" formatCode="General">
                  <c:v>2256</c:v>
                </c:pt>
                <c:pt idx="50">
                  <c:v>45462</c:v>
                </c:pt>
                <c:pt idx="51" formatCode="General">
                  <c:v>20743</c:v>
                </c:pt>
                <c:pt idx="52" formatCode="General">
                  <c:v>15979</c:v>
                </c:pt>
                <c:pt idx="53">
                  <c:v>11178</c:v>
                </c:pt>
                <c:pt idx="54">
                  <c:v>6615</c:v>
                </c:pt>
                <c:pt idx="55" formatCode="General">
                  <c:v>3780</c:v>
                </c:pt>
                <c:pt idx="56">
                  <c:v>4075</c:v>
                </c:pt>
                <c:pt idx="57" formatCode="General">
                  <c:v>4113</c:v>
                </c:pt>
                <c:pt idx="58">
                  <c:v>4616</c:v>
                </c:pt>
                <c:pt idx="59" formatCode="General">
                  <c:v>3360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25504"/>
        <c:axId val="197932160"/>
      </c:lineChart>
      <c:catAx>
        <c:axId val="1979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32160"/>
        <c:crosses val="autoZero"/>
        <c:auto val="1"/>
        <c:lblAlgn val="ctr"/>
        <c:lblOffset val="100"/>
        <c:noMultiLvlLbl val="1"/>
      </c:catAx>
      <c:valAx>
        <c:axId val="1979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25504"/>
        <c:crosses val="autoZero"/>
        <c:crossBetween val="between"/>
      </c:valAx>
      <c:valAx>
        <c:axId val="7728569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29416"/>
        <c:crosses val="max"/>
        <c:crossBetween val="between"/>
      </c:valAx>
      <c:catAx>
        <c:axId val="77282941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56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EE-443F-B38B-DB1E0C600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29744"/>
        <c:axId val="77282876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Prover9!$M$2:$M$91</c:f>
              <c:numCache>
                <c:formatCode>0.00</c:formatCode>
                <c:ptCount val="60"/>
                <c:pt idx="0">
                  <c:v>86</c:v>
                </c:pt>
                <c:pt idx="1">
                  <c:v>85</c:v>
                </c:pt>
                <c:pt idx="2" formatCode="General">
                  <c:v>81</c:v>
                </c:pt>
                <c:pt idx="3" formatCode="General">
                  <c:v>85</c:v>
                </c:pt>
                <c:pt idx="4" formatCode="General">
                  <c:v>65</c:v>
                </c:pt>
                <c:pt idx="5" formatCode="General">
                  <c:v>133</c:v>
                </c:pt>
                <c:pt idx="6">
                  <c:v>221</c:v>
                </c:pt>
                <c:pt idx="7">
                  <c:v>319</c:v>
                </c:pt>
                <c:pt idx="8" formatCode="General">
                  <c:v>414</c:v>
                </c:pt>
                <c:pt idx="9" formatCode="General">
                  <c:v>897</c:v>
                </c:pt>
                <c:pt idx="10" formatCode="General">
                  <c:v>153</c:v>
                </c:pt>
                <c:pt idx="11" formatCode="General">
                  <c:v>163</c:v>
                </c:pt>
                <c:pt idx="12">
                  <c:v>154</c:v>
                </c:pt>
                <c:pt idx="13" formatCode="General">
                  <c:v>146</c:v>
                </c:pt>
                <c:pt idx="14">
                  <c:v>130</c:v>
                </c:pt>
                <c:pt idx="15" formatCode="General">
                  <c:v>265</c:v>
                </c:pt>
                <c:pt idx="16" formatCode="General">
                  <c:v>434</c:v>
                </c:pt>
                <c:pt idx="17" formatCode="General">
                  <c:v>612</c:v>
                </c:pt>
                <c:pt idx="18" formatCode="General">
                  <c:v>831</c:v>
                </c:pt>
                <c:pt idx="19" formatCode="General">
                  <c:v>1787</c:v>
                </c:pt>
                <c:pt idx="20" formatCode="General">
                  <c:v>447</c:v>
                </c:pt>
                <c:pt idx="21">
                  <c:v>423</c:v>
                </c:pt>
                <c:pt idx="22" formatCode="0">
                  <c:v>394</c:v>
                </c:pt>
                <c:pt idx="23" formatCode="General">
                  <c:v>363</c:v>
                </c:pt>
                <c:pt idx="24">
                  <c:v>354</c:v>
                </c:pt>
                <c:pt idx="25">
                  <c:v>649</c:v>
                </c:pt>
                <c:pt idx="26" formatCode="General">
                  <c:v>1134</c:v>
                </c:pt>
                <c:pt idx="27">
                  <c:v>1581</c:v>
                </c:pt>
                <c:pt idx="28" formatCode="General">
                  <c:v>2087</c:v>
                </c:pt>
                <c:pt idx="29" formatCode="General">
                  <c:v>4478</c:v>
                </c:pt>
                <c:pt idx="30" formatCode="General">
                  <c:v>908</c:v>
                </c:pt>
                <c:pt idx="31" formatCode="General">
                  <c:v>834</c:v>
                </c:pt>
                <c:pt idx="32" formatCode="0">
                  <c:v>818</c:v>
                </c:pt>
                <c:pt idx="33" formatCode="General">
                  <c:v>732</c:v>
                </c:pt>
                <c:pt idx="34" formatCode="General">
                  <c:v>653</c:v>
                </c:pt>
                <c:pt idx="35" formatCode="General">
                  <c:v>1332</c:v>
                </c:pt>
                <c:pt idx="36" formatCode="General">
                  <c:v>2230</c:v>
                </c:pt>
                <c:pt idx="37" formatCode="General">
                  <c:v>3155</c:v>
                </c:pt>
                <c:pt idx="38">
                  <c:v>4154</c:v>
                </c:pt>
                <c:pt idx="39" formatCode="General">
                  <c:v>9041</c:v>
                </c:pt>
                <c:pt idx="40" formatCode="General">
                  <c:v>2264</c:v>
                </c:pt>
                <c:pt idx="41" formatCode="General">
                  <c:v>2100</c:v>
                </c:pt>
                <c:pt idx="42">
                  <c:v>1975</c:v>
                </c:pt>
                <c:pt idx="43" formatCode="General">
                  <c:v>1893</c:v>
                </c:pt>
                <c:pt idx="44" formatCode="General">
                  <c:v>1664</c:v>
                </c:pt>
                <c:pt idx="45">
                  <c:v>3333</c:v>
                </c:pt>
                <c:pt idx="46" formatCode="General">
                  <c:v>5603</c:v>
                </c:pt>
                <c:pt idx="47" formatCode="General">
                  <c:v>7992</c:v>
                </c:pt>
                <c:pt idx="48" formatCode="General">
                  <c:v>10401</c:v>
                </c:pt>
                <c:pt idx="49" formatCode="General">
                  <c:v>22703</c:v>
                </c:pt>
                <c:pt idx="50">
                  <c:v>4506</c:v>
                </c:pt>
                <c:pt idx="51" formatCode="General">
                  <c:v>4245</c:v>
                </c:pt>
                <c:pt idx="52" formatCode="General">
                  <c:v>4016</c:v>
                </c:pt>
                <c:pt idx="53">
                  <c:v>3818</c:v>
                </c:pt>
                <c:pt idx="54">
                  <c:v>3383</c:v>
                </c:pt>
                <c:pt idx="55" formatCode="General">
                  <c:v>11218</c:v>
                </c:pt>
                <c:pt idx="56">
                  <c:v>15916</c:v>
                </c:pt>
                <c:pt idx="57" formatCode="General">
                  <c:v>20873</c:v>
                </c:pt>
                <c:pt idx="58">
                  <c:v>45331</c:v>
                </c:pt>
                <c:pt idx="59" formatCode="General">
                  <c:v>6636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49312"/>
        <c:axId val="197968256"/>
      </c:lineChart>
      <c:catAx>
        <c:axId val="19794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68256"/>
        <c:crosses val="autoZero"/>
        <c:auto val="1"/>
        <c:lblAlgn val="ctr"/>
        <c:lblOffset val="100"/>
        <c:noMultiLvlLbl val="1"/>
      </c:catAx>
      <c:valAx>
        <c:axId val="19796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49312"/>
        <c:crosses val="autoZero"/>
        <c:crossBetween val="between"/>
      </c:valAx>
      <c:valAx>
        <c:axId val="77282876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29744"/>
        <c:crosses val="max"/>
        <c:crossBetween val="between"/>
      </c:valAx>
      <c:catAx>
        <c:axId val="77282974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28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90-4511-96D8-7B8CC7436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8128"/>
        <c:axId val="64178452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Prover9!$I$2:$I$91</c:f>
              <c:numCache>
                <c:formatCode>0.00</c:formatCode>
                <c:ptCount val="60"/>
                <c:pt idx="0">
                  <c:v>1000</c:v>
                </c:pt>
                <c:pt idx="1">
                  <c:v>500</c:v>
                </c:pt>
                <c:pt idx="2" formatCode="General">
                  <c:v>400</c:v>
                </c:pt>
                <c:pt idx="3" formatCode="General">
                  <c:v>300</c:v>
                </c:pt>
                <c:pt idx="4" formatCode="General">
                  <c:v>200</c:v>
                </c:pt>
                <c:pt idx="5" formatCode="General">
                  <c:v>200</c:v>
                </c:pt>
                <c:pt idx="6">
                  <c:v>300</c:v>
                </c:pt>
                <c:pt idx="7">
                  <c:v>400</c:v>
                </c:pt>
                <c:pt idx="8" formatCode="General">
                  <c:v>500</c:v>
                </c:pt>
                <c:pt idx="9" formatCode="General">
                  <c:v>1000</c:v>
                </c:pt>
                <c:pt idx="10" formatCode="General">
                  <c:v>2000</c:v>
                </c:pt>
                <c:pt idx="11" formatCode="General">
                  <c:v>1000</c:v>
                </c:pt>
                <c:pt idx="12">
                  <c:v>800</c:v>
                </c:pt>
                <c:pt idx="13" formatCode="General">
                  <c:v>600</c:v>
                </c:pt>
                <c:pt idx="14">
                  <c:v>400</c:v>
                </c:pt>
                <c:pt idx="15" formatCode="General">
                  <c:v>400</c:v>
                </c:pt>
                <c:pt idx="16" formatCode="General">
                  <c:v>600</c:v>
                </c:pt>
                <c:pt idx="17" formatCode="General">
                  <c:v>800</c:v>
                </c:pt>
                <c:pt idx="18" formatCode="General">
                  <c:v>1000</c:v>
                </c:pt>
                <c:pt idx="19" formatCode="General">
                  <c:v>2000</c:v>
                </c:pt>
                <c:pt idx="20" formatCode="General">
                  <c:v>5000</c:v>
                </c:pt>
                <c:pt idx="21">
                  <c:v>2500</c:v>
                </c:pt>
                <c:pt idx="22" formatCode="0">
                  <c:v>2000</c:v>
                </c:pt>
                <c:pt idx="23" formatCode="General">
                  <c:v>1500</c:v>
                </c:pt>
                <c:pt idx="24">
                  <c:v>1000</c:v>
                </c:pt>
                <c:pt idx="25">
                  <c:v>1000</c:v>
                </c:pt>
                <c:pt idx="26" formatCode="General">
                  <c:v>1500</c:v>
                </c:pt>
                <c:pt idx="27">
                  <c:v>2000</c:v>
                </c:pt>
                <c:pt idx="28" formatCode="General">
                  <c:v>2500</c:v>
                </c:pt>
                <c:pt idx="29" formatCode="General">
                  <c:v>5000</c:v>
                </c:pt>
                <c:pt idx="30" formatCode="General">
                  <c:v>10000</c:v>
                </c:pt>
                <c:pt idx="31" formatCode="General">
                  <c:v>5000</c:v>
                </c:pt>
                <c:pt idx="32" formatCode="0">
                  <c:v>4000</c:v>
                </c:pt>
                <c:pt idx="33" formatCode="General">
                  <c:v>3000</c:v>
                </c:pt>
                <c:pt idx="34" formatCode="General">
                  <c:v>2000</c:v>
                </c:pt>
                <c:pt idx="35" formatCode="General">
                  <c:v>2000</c:v>
                </c:pt>
                <c:pt idx="36" formatCode="General">
                  <c:v>3000</c:v>
                </c:pt>
                <c:pt idx="37" formatCode="General">
                  <c:v>4000</c:v>
                </c:pt>
                <c:pt idx="38">
                  <c:v>5000</c:v>
                </c:pt>
                <c:pt idx="39" formatCode="General">
                  <c:v>10000</c:v>
                </c:pt>
                <c:pt idx="40" formatCode="General">
                  <c:v>25000</c:v>
                </c:pt>
                <c:pt idx="41" formatCode="General">
                  <c:v>12500</c:v>
                </c:pt>
                <c:pt idx="42">
                  <c:v>10000</c:v>
                </c:pt>
                <c:pt idx="43" formatCode="General">
                  <c:v>7500</c:v>
                </c:pt>
                <c:pt idx="44" formatCode="General">
                  <c:v>5000</c:v>
                </c:pt>
                <c:pt idx="45">
                  <c:v>5000</c:v>
                </c:pt>
                <c:pt idx="46" formatCode="General">
                  <c:v>7500</c:v>
                </c:pt>
                <c:pt idx="47" formatCode="General">
                  <c:v>10000</c:v>
                </c:pt>
                <c:pt idx="48" formatCode="General">
                  <c:v>12500</c:v>
                </c:pt>
                <c:pt idx="49" formatCode="General">
                  <c:v>25000</c:v>
                </c:pt>
                <c:pt idx="50">
                  <c:v>50000</c:v>
                </c:pt>
                <c:pt idx="51" formatCode="General">
                  <c:v>25000</c:v>
                </c:pt>
                <c:pt idx="52" formatCode="General">
                  <c:v>20000</c:v>
                </c:pt>
                <c:pt idx="53">
                  <c:v>15000</c:v>
                </c:pt>
                <c:pt idx="54">
                  <c:v>10000</c:v>
                </c:pt>
                <c:pt idx="55" formatCode="General">
                  <c:v>15000</c:v>
                </c:pt>
                <c:pt idx="56">
                  <c:v>20000</c:v>
                </c:pt>
                <c:pt idx="57" formatCode="General">
                  <c:v>25000</c:v>
                </c:pt>
                <c:pt idx="58">
                  <c:v>50000</c:v>
                </c:pt>
                <c:pt idx="59" formatCode="General">
                  <c:v>10000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464128"/>
        <c:axId val="206466432"/>
      </c:lineChart>
      <c:catAx>
        <c:axId val="20646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6432"/>
        <c:crosses val="autoZero"/>
        <c:auto val="1"/>
        <c:lblAlgn val="ctr"/>
        <c:lblOffset val="100"/>
        <c:noMultiLvlLbl val="0"/>
      </c:catAx>
      <c:valAx>
        <c:axId val="2064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4128"/>
        <c:crosses val="autoZero"/>
        <c:crossBetween val="between"/>
      </c:valAx>
      <c:valAx>
        <c:axId val="6417845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88128"/>
        <c:crosses val="max"/>
        <c:crossBetween val="between"/>
      </c:valAx>
      <c:catAx>
        <c:axId val="64178812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4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61-4936-AF3F-3A5EFF6E6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79928"/>
        <c:axId val="641778944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Prover9!$K$2:$K$91</c:f>
              <c:numCache>
                <c:formatCode>0.00</c:formatCode>
                <c:ptCount val="60"/>
                <c:pt idx="0">
                  <c:v>635</c:v>
                </c:pt>
                <c:pt idx="1">
                  <c:v>315</c:v>
                </c:pt>
                <c:pt idx="2" formatCode="General">
                  <c:v>258</c:v>
                </c:pt>
                <c:pt idx="3" formatCode="General">
                  <c:v>195</c:v>
                </c:pt>
                <c:pt idx="4" formatCode="General">
                  <c:v>127</c:v>
                </c:pt>
                <c:pt idx="5" formatCode="General">
                  <c:v>122</c:v>
                </c:pt>
                <c:pt idx="6">
                  <c:v>190</c:v>
                </c:pt>
                <c:pt idx="7">
                  <c:v>248</c:v>
                </c:pt>
                <c:pt idx="8" formatCode="General">
                  <c:v>320</c:v>
                </c:pt>
                <c:pt idx="9" formatCode="General">
                  <c:v>617</c:v>
                </c:pt>
                <c:pt idx="10" formatCode="General">
                  <c:v>1258</c:v>
                </c:pt>
                <c:pt idx="11" formatCode="General">
                  <c:v>620</c:v>
                </c:pt>
                <c:pt idx="12">
                  <c:v>492</c:v>
                </c:pt>
                <c:pt idx="13" formatCode="General">
                  <c:v>372</c:v>
                </c:pt>
                <c:pt idx="14">
                  <c:v>244</c:v>
                </c:pt>
                <c:pt idx="15" formatCode="General">
                  <c:v>244</c:v>
                </c:pt>
                <c:pt idx="16" formatCode="General">
                  <c:v>377</c:v>
                </c:pt>
                <c:pt idx="17" formatCode="General">
                  <c:v>481</c:v>
                </c:pt>
                <c:pt idx="18" formatCode="General">
                  <c:v>624</c:v>
                </c:pt>
                <c:pt idx="19" formatCode="General">
                  <c:v>1243</c:v>
                </c:pt>
                <c:pt idx="20" formatCode="General">
                  <c:v>3145</c:v>
                </c:pt>
                <c:pt idx="21">
                  <c:v>1580</c:v>
                </c:pt>
                <c:pt idx="22" formatCode="0">
                  <c:v>1253</c:v>
                </c:pt>
                <c:pt idx="23" formatCode="General">
                  <c:v>940</c:v>
                </c:pt>
                <c:pt idx="24">
                  <c:v>629</c:v>
                </c:pt>
                <c:pt idx="25">
                  <c:v>619</c:v>
                </c:pt>
                <c:pt idx="26" formatCode="General">
                  <c:v>935</c:v>
                </c:pt>
                <c:pt idx="27">
                  <c:v>1244</c:v>
                </c:pt>
                <c:pt idx="28" formatCode="General">
                  <c:v>1567</c:v>
                </c:pt>
                <c:pt idx="29" formatCode="General">
                  <c:v>3129</c:v>
                </c:pt>
                <c:pt idx="30" formatCode="General">
                  <c:v>6297</c:v>
                </c:pt>
                <c:pt idx="31" formatCode="General">
                  <c:v>3122</c:v>
                </c:pt>
                <c:pt idx="32" formatCode="0">
                  <c:v>2482</c:v>
                </c:pt>
                <c:pt idx="33" formatCode="General">
                  <c:v>1869</c:v>
                </c:pt>
                <c:pt idx="34" formatCode="General">
                  <c:v>1273</c:v>
                </c:pt>
                <c:pt idx="35" formatCode="General">
                  <c:v>1276</c:v>
                </c:pt>
                <c:pt idx="36" formatCode="General">
                  <c:v>1895</c:v>
                </c:pt>
                <c:pt idx="37" formatCode="General">
                  <c:v>2498</c:v>
                </c:pt>
                <c:pt idx="38">
                  <c:v>3118</c:v>
                </c:pt>
                <c:pt idx="39" formatCode="General">
                  <c:v>6228</c:v>
                </c:pt>
                <c:pt idx="40" formatCode="General">
                  <c:v>15550</c:v>
                </c:pt>
                <c:pt idx="41" formatCode="General">
                  <c:v>7770</c:v>
                </c:pt>
                <c:pt idx="42">
                  <c:v>6294</c:v>
                </c:pt>
                <c:pt idx="43" formatCode="General">
                  <c:v>4690</c:v>
                </c:pt>
                <c:pt idx="44" formatCode="General">
                  <c:v>3090</c:v>
                </c:pt>
                <c:pt idx="45">
                  <c:v>3172</c:v>
                </c:pt>
                <c:pt idx="46" formatCode="General">
                  <c:v>4713</c:v>
                </c:pt>
                <c:pt idx="47" formatCode="General">
                  <c:v>6276</c:v>
                </c:pt>
                <c:pt idx="48" formatCode="General">
                  <c:v>7835</c:v>
                </c:pt>
                <c:pt idx="49" formatCode="General">
                  <c:v>15591</c:v>
                </c:pt>
                <c:pt idx="50">
                  <c:v>31247</c:v>
                </c:pt>
                <c:pt idx="51" formatCode="General">
                  <c:v>15636</c:v>
                </c:pt>
                <c:pt idx="52" formatCode="General">
                  <c:v>12544</c:v>
                </c:pt>
                <c:pt idx="53">
                  <c:v>9306</c:v>
                </c:pt>
                <c:pt idx="54">
                  <c:v>6251</c:v>
                </c:pt>
                <c:pt idx="55" formatCode="General">
                  <c:v>9405</c:v>
                </c:pt>
                <c:pt idx="56">
                  <c:v>12515</c:v>
                </c:pt>
                <c:pt idx="57" formatCode="General">
                  <c:v>15541</c:v>
                </c:pt>
                <c:pt idx="58">
                  <c:v>31172</c:v>
                </c:pt>
                <c:pt idx="59" formatCode="General">
                  <c:v>6295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08416"/>
        <c:axId val="206510720"/>
      </c:lineChart>
      <c:catAx>
        <c:axId val="20650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10720"/>
        <c:crosses val="autoZero"/>
        <c:auto val="1"/>
        <c:lblAlgn val="ctr"/>
        <c:lblOffset val="100"/>
        <c:noMultiLvlLbl val="0"/>
      </c:catAx>
      <c:valAx>
        <c:axId val="20651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08416"/>
        <c:crosses val="autoZero"/>
        <c:crossBetween val="between"/>
      </c:valAx>
      <c:valAx>
        <c:axId val="6417789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79928"/>
        <c:crosses val="max"/>
        <c:crossBetween val="between"/>
      </c:valAx>
      <c:catAx>
        <c:axId val="64177992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89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5-42F0-86AD-8748AAF9B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391760"/>
        <c:axId val="35739012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Prover9!$L$2:$L$91</c:f>
              <c:numCache>
                <c:formatCode>0.00</c:formatCode>
                <c:ptCount val="60"/>
                <c:pt idx="0">
                  <c:v>896</c:v>
                </c:pt>
                <c:pt idx="1">
                  <c:v>406</c:v>
                </c:pt>
                <c:pt idx="2" formatCode="General">
                  <c:v>318</c:v>
                </c:pt>
                <c:pt idx="3" formatCode="General">
                  <c:v>213</c:v>
                </c:pt>
                <c:pt idx="4" formatCode="General">
                  <c:v>133</c:v>
                </c:pt>
                <c:pt idx="5" formatCode="General">
                  <c:v>66</c:v>
                </c:pt>
                <c:pt idx="6">
                  <c:v>78</c:v>
                </c:pt>
                <c:pt idx="7">
                  <c:v>77</c:v>
                </c:pt>
                <c:pt idx="8" formatCode="General">
                  <c:v>73</c:v>
                </c:pt>
                <c:pt idx="9" formatCode="General">
                  <c:v>82</c:v>
                </c:pt>
                <c:pt idx="10" formatCode="General">
                  <c:v>1829</c:v>
                </c:pt>
                <c:pt idx="11" formatCode="General">
                  <c:v>825</c:v>
                </c:pt>
                <c:pt idx="12">
                  <c:v>634</c:v>
                </c:pt>
                <c:pt idx="13" formatCode="General">
                  <c:v>450</c:v>
                </c:pt>
                <c:pt idx="14">
                  <c:v>270</c:v>
                </c:pt>
                <c:pt idx="15" formatCode="General">
                  <c:v>134</c:v>
                </c:pt>
                <c:pt idx="16" formatCode="General">
                  <c:v>162</c:v>
                </c:pt>
                <c:pt idx="17" formatCode="General">
                  <c:v>183</c:v>
                </c:pt>
                <c:pt idx="18" formatCode="General">
                  <c:v>162</c:v>
                </c:pt>
                <c:pt idx="19" formatCode="General">
                  <c:v>182</c:v>
                </c:pt>
                <c:pt idx="20" formatCode="General">
                  <c:v>4522</c:v>
                </c:pt>
                <c:pt idx="21">
                  <c:v>2067</c:v>
                </c:pt>
                <c:pt idx="22" formatCode="0">
                  <c:v>1598</c:v>
                </c:pt>
                <c:pt idx="23" formatCode="General">
                  <c:v>1134</c:v>
                </c:pt>
                <c:pt idx="24">
                  <c:v>640</c:v>
                </c:pt>
                <c:pt idx="25">
                  <c:v>347</c:v>
                </c:pt>
                <c:pt idx="26" formatCode="General">
                  <c:v>365</c:v>
                </c:pt>
                <c:pt idx="27">
                  <c:v>415</c:v>
                </c:pt>
                <c:pt idx="28" formatCode="General">
                  <c:v>400</c:v>
                </c:pt>
                <c:pt idx="29" formatCode="General">
                  <c:v>491</c:v>
                </c:pt>
                <c:pt idx="30" formatCode="General">
                  <c:v>9060</c:v>
                </c:pt>
                <c:pt idx="31" formatCode="General">
                  <c:v>4156</c:v>
                </c:pt>
                <c:pt idx="32" formatCode="0">
                  <c:v>3172</c:v>
                </c:pt>
                <c:pt idx="33" formatCode="General">
                  <c:v>2266</c:v>
                </c:pt>
                <c:pt idx="34" formatCode="General">
                  <c:v>1346</c:v>
                </c:pt>
                <c:pt idx="35" formatCode="General">
                  <c:v>667</c:v>
                </c:pt>
                <c:pt idx="36" formatCode="General">
                  <c:v>763</c:v>
                </c:pt>
                <c:pt idx="37" formatCode="General">
                  <c:v>836</c:v>
                </c:pt>
                <c:pt idx="38">
                  <c:v>834</c:v>
                </c:pt>
                <c:pt idx="39" formatCode="General">
                  <c:v>931</c:v>
                </c:pt>
                <c:pt idx="40" formatCode="General">
                  <c:v>22695</c:v>
                </c:pt>
                <c:pt idx="41" formatCode="General">
                  <c:v>10380</c:v>
                </c:pt>
                <c:pt idx="42">
                  <c:v>8013</c:v>
                </c:pt>
                <c:pt idx="43" formatCode="General">
                  <c:v>5598</c:v>
                </c:pt>
                <c:pt idx="44" formatCode="General">
                  <c:v>3332</c:v>
                </c:pt>
                <c:pt idx="45">
                  <c:v>1664</c:v>
                </c:pt>
                <c:pt idx="46" formatCode="General">
                  <c:v>1893</c:v>
                </c:pt>
                <c:pt idx="47" formatCode="General">
                  <c:v>1998</c:v>
                </c:pt>
                <c:pt idx="48" formatCode="General">
                  <c:v>2087</c:v>
                </c:pt>
                <c:pt idx="49" formatCode="General">
                  <c:v>2256</c:v>
                </c:pt>
                <c:pt idx="50">
                  <c:v>45462</c:v>
                </c:pt>
                <c:pt idx="51" formatCode="General">
                  <c:v>20743</c:v>
                </c:pt>
                <c:pt idx="52" formatCode="General">
                  <c:v>15979</c:v>
                </c:pt>
                <c:pt idx="53">
                  <c:v>11178</c:v>
                </c:pt>
                <c:pt idx="54">
                  <c:v>6615</c:v>
                </c:pt>
                <c:pt idx="55" formatCode="General">
                  <c:v>3780</c:v>
                </c:pt>
                <c:pt idx="56">
                  <c:v>4075</c:v>
                </c:pt>
                <c:pt idx="57" formatCode="General">
                  <c:v>4113</c:v>
                </c:pt>
                <c:pt idx="58">
                  <c:v>4616</c:v>
                </c:pt>
                <c:pt idx="59" formatCode="General">
                  <c:v>3360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37856"/>
        <c:axId val="206540160"/>
      </c:lineChart>
      <c:catAx>
        <c:axId val="20653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40160"/>
        <c:crosses val="autoZero"/>
        <c:auto val="1"/>
        <c:lblAlgn val="ctr"/>
        <c:lblOffset val="100"/>
        <c:noMultiLvlLbl val="0"/>
      </c:catAx>
      <c:valAx>
        <c:axId val="20654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856"/>
        <c:crosses val="autoZero"/>
        <c:crossBetween val="between"/>
      </c:valAx>
      <c:valAx>
        <c:axId val="3573901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357391760"/>
        <c:crosses val="max"/>
        <c:crossBetween val="between"/>
      </c:valAx>
      <c:catAx>
        <c:axId val="35739176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357390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B-493B-A1AF-90C6B7624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75664"/>
        <c:axId val="641776648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Prover9!$M$2:$M$91</c:f>
              <c:numCache>
                <c:formatCode>0.00</c:formatCode>
                <c:ptCount val="60"/>
                <c:pt idx="0">
                  <c:v>86</c:v>
                </c:pt>
                <c:pt idx="1">
                  <c:v>85</c:v>
                </c:pt>
                <c:pt idx="2" formatCode="General">
                  <c:v>81</c:v>
                </c:pt>
                <c:pt idx="3" formatCode="General">
                  <c:v>85</c:v>
                </c:pt>
                <c:pt idx="4" formatCode="General">
                  <c:v>65</c:v>
                </c:pt>
                <c:pt idx="5" formatCode="General">
                  <c:v>133</c:v>
                </c:pt>
                <c:pt idx="6">
                  <c:v>221</c:v>
                </c:pt>
                <c:pt idx="7">
                  <c:v>319</c:v>
                </c:pt>
                <c:pt idx="8" formatCode="General">
                  <c:v>414</c:v>
                </c:pt>
                <c:pt idx="9" formatCode="General">
                  <c:v>897</c:v>
                </c:pt>
                <c:pt idx="10" formatCode="General">
                  <c:v>153</c:v>
                </c:pt>
                <c:pt idx="11" formatCode="General">
                  <c:v>163</c:v>
                </c:pt>
                <c:pt idx="12">
                  <c:v>154</c:v>
                </c:pt>
                <c:pt idx="13" formatCode="General">
                  <c:v>146</c:v>
                </c:pt>
                <c:pt idx="14">
                  <c:v>130</c:v>
                </c:pt>
                <c:pt idx="15" formatCode="General">
                  <c:v>265</c:v>
                </c:pt>
                <c:pt idx="16" formatCode="General">
                  <c:v>434</c:v>
                </c:pt>
                <c:pt idx="17" formatCode="General">
                  <c:v>612</c:v>
                </c:pt>
                <c:pt idx="18" formatCode="General">
                  <c:v>831</c:v>
                </c:pt>
                <c:pt idx="19" formatCode="General">
                  <c:v>1787</c:v>
                </c:pt>
                <c:pt idx="20" formatCode="General">
                  <c:v>447</c:v>
                </c:pt>
                <c:pt idx="21">
                  <c:v>423</c:v>
                </c:pt>
                <c:pt idx="22" formatCode="0">
                  <c:v>394</c:v>
                </c:pt>
                <c:pt idx="23" formatCode="General">
                  <c:v>363</c:v>
                </c:pt>
                <c:pt idx="24">
                  <c:v>354</c:v>
                </c:pt>
                <c:pt idx="25">
                  <c:v>649</c:v>
                </c:pt>
                <c:pt idx="26" formatCode="General">
                  <c:v>1134</c:v>
                </c:pt>
                <c:pt idx="27">
                  <c:v>1581</c:v>
                </c:pt>
                <c:pt idx="28" formatCode="General">
                  <c:v>2087</c:v>
                </c:pt>
                <c:pt idx="29" formatCode="General">
                  <c:v>4478</c:v>
                </c:pt>
                <c:pt idx="30" formatCode="General">
                  <c:v>908</c:v>
                </c:pt>
                <c:pt idx="31" formatCode="General">
                  <c:v>834</c:v>
                </c:pt>
                <c:pt idx="32" formatCode="0">
                  <c:v>818</c:v>
                </c:pt>
                <c:pt idx="33" formatCode="General">
                  <c:v>732</c:v>
                </c:pt>
                <c:pt idx="34" formatCode="General">
                  <c:v>653</c:v>
                </c:pt>
                <c:pt idx="35" formatCode="General">
                  <c:v>1332</c:v>
                </c:pt>
                <c:pt idx="36" formatCode="General">
                  <c:v>2230</c:v>
                </c:pt>
                <c:pt idx="37" formatCode="General">
                  <c:v>3155</c:v>
                </c:pt>
                <c:pt idx="38">
                  <c:v>4154</c:v>
                </c:pt>
                <c:pt idx="39" formatCode="General">
                  <c:v>9041</c:v>
                </c:pt>
                <c:pt idx="40" formatCode="General">
                  <c:v>2264</c:v>
                </c:pt>
                <c:pt idx="41" formatCode="General">
                  <c:v>2100</c:v>
                </c:pt>
                <c:pt idx="42">
                  <c:v>1975</c:v>
                </c:pt>
                <c:pt idx="43" formatCode="General">
                  <c:v>1893</c:v>
                </c:pt>
                <c:pt idx="44" formatCode="General">
                  <c:v>1664</c:v>
                </c:pt>
                <c:pt idx="45">
                  <c:v>3333</c:v>
                </c:pt>
                <c:pt idx="46" formatCode="General">
                  <c:v>5603</c:v>
                </c:pt>
                <c:pt idx="47" formatCode="General">
                  <c:v>7992</c:v>
                </c:pt>
                <c:pt idx="48" formatCode="General">
                  <c:v>10401</c:v>
                </c:pt>
                <c:pt idx="49" formatCode="General">
                  <c:v>22703</c:v>
                </c:pt>
                <c:pt idx="50">
                  <c:v>4506</c:v>
                </c:pt>
                <c:pt idx="51" formatCode="General">
                  <c:v>4245</c:v>
                </c:pt>
                <c:pt idx="52" formatCode="General">
                  <c:v>4016</c:v>
                </c:pt>
                <c:pt idx="53">
                  <c:v>3818</c:v>
                </c:pt>
                <c:pt idx="54">
                  <c:v>3383</c:v>
                </c:pt>
                <c:pt idx="55" formatCode="General">
                  <c:v>11218</c:v>
                </c:pt>
                <c:pt idx="56">
                  <c:v>15916</c:v>
                </c:pt>
                <c:pt idx="57" formatCode="General">
                  <c:v>20873</c:v>
                </c:pt>
                <c:pt idx="58">
                  <c:v>45331</c:v>
                </c:pt>
                <c:pt idx="59" formatCode="General">
                  <c:v>6636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98528"/>
        <c:axId val="206600832"/>
      </c:lineChart>
      <c:catAx>
        <c:axId val="20659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00832"/>
        <c:crosses val="autoZero"/>
        <c:auto val="1"/>
        <c:lblAlgn val="ctr"/>
        <c:lblOffset val="100"/>
        <c:noMultiLvlLbl val="0"/>
      </c:catAx>
      <c:valAx>
        <c:axId val="2066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98528"/>
        <c:crosses val="autoZero"/>
        <c:crossBetween val="between"/>
      </c:valAx>
      <c:valAx>
        <c:axId val="6417766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75664"/>
        <c:crosses val="max"/>
        <c:crossBetween val="between"/>
      </c:valAx>
      <c:catAx>
        <c:axId val="64177566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66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4-4041-8F50-8F51B08D0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32696"/>
        <c:axId val="772835320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SPASS!$H$2:$H$91</c:f>
              <c:numCache>
                <c:formatCode>General</c:formatCode>
                <c:ptCount val="5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2500</c:v>
                </c:pt>
                <c:pt idx="41">
                  <c:v>2500</c:v>
                </c:pt>
                <c:pt idx="42">
                  <c:v>2500</c:v>
                </c:pt>
                <c:pt idx="43">
                  <c:v>2500</c:v>
                </c:pt>
                <c:pt idx="44">
                  <c:v>2500</c:v>
                </c:pt>
                <c:pt idx="45">
                  <c:v>2500</c:v>
                </c:pt>
                <c:pt idx="46">
                  <c:v>2500</c:v>
                </c:pt>
                <c:pt idx="47">
                  <c:v>2500</c:v>
                </c:pt>
                <c:pt idx="48">
                  <c:v>5000</c:v>
                </c:pt>
                <c:pt idx="49">
                  <c:v>5000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76480"/>
        <c:axId val="206279040"/>
      </c:lineChart>
      <c:catAx>
        <c:axId val="20627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9040"/>
        <c:crosses val="autoZero"/>
        <c:auto val="1"/>
        <c:lblAlgn val="ctr"/>
        <c:lblOffset val="100"/>
        <c:noMultiLvlLbl val="1"/>
      </c:catAx>
      <c:valAx>
        <c:axId val="2062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6480"/>
        <c:crosses val="autoZero"/>
        <c:crossBetween val="between"/>
      </c:valAx>
      <c:valAx>
        <c:axId val="7728353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32696"/>
        <c:crosses val="max"/>
        <c:crossBetween val="between"/>
      </c:valAx>
      <c:catAx>
        <c:axId val="77283269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5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58-4560-98D0-14F83BE02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71072"/>
        <c:axId val="641775992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SPASS!$H$2:$H$91</c:f>
              <c:numCache>
                <c:formatCode>General</c:formatCode>
                <c:ptCount val="5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2500</c:v>
                </c:pt>
                <c:pt idx="41">
                  <c:v>2500</c:v>
                </c:pt>
                <c:pt idx="42">
                  <c:v>2500</c:v>
                </c:pt>
                <c:pt idx="43">
                  <c:v>2500</c:v>
                </c:pt>
                <c:pt idx="44">
                  <c:v>2500</c:v>
                </c:pt>
                <c:pt idx="45">
                  <c:v>2500</c:v>
                </c:pt>
                <c:pt idx="46">
                  <c:v>2500</c:v>
                </c:pt>
                <c:pt idx="47">
                  <c:v>2500</c:v>
                </c:pt>
                <c:pt idx="48">
                  <c:v>5000</c:v>
                </c:pt>
                <c:pt idx="49">
                  <c:v>5000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5603968"/>
        <c:axId val="205606272"/>
      </c:lineChart>
      <c:catAx>
        <c:axId val="20560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6272"/>
        <c:crosses val="autoZero"/>
        <c:auto val="1"/>
        <c:lblAlgn val="ctr"/>
        <c:lblOffset val="100"/>
        <c:noMultiLvlLbl val="0"/>
      </c:catAx>
      <c:valAx>
        <c:axId val="2056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3968"/>
        <c:crosses val="autoZero"/>
        <c:crossBetween val="between"/>
      </c:valAx>
      <c:valAx>
        <c:axId val="6417759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71072"/>
        <c:crosses val="max"/>
        <c:crossBetween val="between"/>
      </c:valAx>
      <c:catAx>
        <c:axId val="64177107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5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59-4062-97F8-7A01A75C2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6488"/>
        <c:axId val="64177074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SPASS!$I$2:$I$91</c:f>
              <c:numCache>
                <c:formatCode>General</c:formatCode>
                <c:ptCount val="53"/>
                <c:pt idx="0">
                  <c:v>1000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2000</c:v>
                </c:pt>
                <c:pt idx="11">
                  <c:v>1000</c:v>
                </c:pt>
                <c:pt idx="12">
                  <c:v>800</c:v>
                </c:pt>
                <c:pt idx="13">
                  <c:v>600</c:v>
                </c:pt>
                <c:pt idx="14">
                  <c:v>400</c:v>
                </c:pt>
                <c:pt idx="15">
                  <c:v>400</c:v>
                </c:pt>
                <c:pt idx="16">
                  <c:v>600</c:v>
                </c:pt>
                <c:pt idx="17">
                  <c:v>800</c:v>
                </c:pt>
                <c:pt idx="18">
                  <c:v>1000</c:v>
                </c:pt>
                <c:pt idx="19">
                  <c:v>2000</c:v>
                </c:pt>
                <c:pt idx="20">
                  <c:v>5000</c:v>
                </c:pt>
                <c:pt idx="21">
                  <c:v>2500</c:v>
                </c:pt>
                <c:pt idx="22">
                  <c:v>2000</c:v>
                </c:pt>
                <c:pt idx="23">
                  <c:v>1500</c:v>
                </c:pt>
                <c:pt idx="24">
                  <c:v>1000</c:v>
                </c:pt>
                <c:pt idx="25">
                  <c:v>1000</c:v>
                </c:pt>
                <c:pt idx="26">
                  <c:v>1500</c:v>
                </c:pt>
                <c:pt idx="27">
                  <c:v>2000</c:v>
                </c:pt>
                <c:pt idx="28">
                  <c:v>2500</c:v>
                </c:pt>
                <c:pt idx="29">
                  <c:v>5000</c:v>
                </c:pt>
                <c:pt idx="30">
                  <c:v>10000</c:v>
                </c:pt>
                <c:pt idx="31">
                  <c:v>5000</c:v>
                </c:pt>
                <c:pt idx="32">
                  <c:v>4000</c:v>
                </c:pt>
                <c:pt idx="33">
                  <c:v>3000</c:v>
                </c:pt>
                <c:pt idx="34">
                  <c:v>2000</c:v>
                </c:pt>
                <c:pt idx="35">
                  <c:v>2000</c:v>
                </c:pt>
                <c:pt idx="36">
                  <c:v>3000</c:v>
                </c:pt>
                <c:pt idx="37">
                  <c:v>4000</c:v>
                </c:pt>
                <c:pt idx="38">
                  <c:v>5000</c:v>
                </c:pt>
                <c:pt idx="39">
                  <c:v>10000</c:v>
                </c:pt>
                <c:pt idx="40">
                  <c:v>12500</c:v>
                </c:pt>
                <c:pt idx="41">
                  <c:v>10000</c:v>
                </c:pt>
                <c:pt idx="42">
                  <c:v>7500</c:v>
                </c:pt>
                <c:pt idx="43">
                  <c:v>5000</c:v>
                </c:pt>
                <c:pt idx="44">
                  <c:v>5000</c:v>
                </c:pt>
                <c:pt idx="45">
                  <c:v>7500</c:v>
                </c:pt>
                <c:pt idx="46">
                  <c:v>10000</c:v>
                </c:pt>
                <c:pt idx="47">
                  <c:v>12500</c:v>
                </c:pt>
                <c:pt idx="48">
                  <c:v>15000</c:v>
                </c:pt>
                <c:pt idx="49">
                  <c:v>10000</c:v>
                </c:pt>
                <c:pt idx="50">
                  <c:v>10000</c:v>
                </c:pt>
                <c:pt idx="51">
                  <c:v>15000</c:v>
                </c:pt>
                <c:pt idx="52">
                  <c:v>20000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647872"/>
        <c:axId val="205650176"/>
      </c:lineChart>
      <c:catAx>
        <c:axId val="20564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50176"/>
        <c:crosses val="autoZero"/>
        <c:auto val="1"/>
        <c:lblAlgn val="ctr"/>
        <c:lblOffset val="100"/>
        <c:noMultiLvlLbl val="1"/>
      </c:catAx>
      <c:valAx>
        <c:axId val="2056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47872"/>
        <c:crosses val="autoZero"/>
        <c:crossBetween val="between"/>
      </c:valAx>
      <c:valAx>
        <c:axId val="6417707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86488"/>
        <c:crosses val="max"/>
        <c:crossBetween val="between"/>
      </c:valAx>
      <c:catAx>
        <c:axId val="64178648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07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5F-4A3C-83C9-29E160062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0584"/>
        <c:axId val="64178484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SPASS!$K$2:$K$91</c:f>
              <c:numCache>
                <c:formatCode>General</c:formatCode>
                <c:ptCount val="53"/>
                <c:pt idx="0">
                  <c:v>635</c:v>
                </c:pt>
                <c:pt idx="1">
                  <c:v>315</c:v>
                </c:pt>
                <c:pt idx="2">
                  <c:v>258</c:v>
                </c:pt>
                <c:pt idx="3">
                  <c:v>195</c:v>
                </c:pt>
                <c:pt idx="4">
                  <c:v>127</c:v>
                </c:pt>
                <c:pt idx="5">
                  <c:v>122</c:v>
                </c:pt>
                <c:pt idx="6">
                  <c:v>190</c:v>
                </c:pt>
                <c:pt idx="7">
                  <c:v>248</c:v>
                </c:pt>
                <c:pt idx="8">
                  <c:v>320</c:v>
                </c:pt>
                <c:pt idx="9">
                  <c:v>617</c:v>
                </c:pt>
                <c:pt idx="10">
                  <c:v>1258</c:v>
                </c:pt>
                <c:pt idx="11">
                  <c:v>620</c:v>
                </c:pt>
                <c:pt idx="12">
                  <c:v>492</c:v>
                </c:pt>
                <c:pt idx="13">
                  <c:v>372</c:v>
                </c:pt>
                <c:pt idx="14">
                  <c:v>244</c:v>
                </c:pt>
                <c:pt idx="15">
                  <c:v>244</c:v>
                </c:pt>
                <c:pt idx="16">
                  <c:v>377</c:v>
                </c:pt>
                <c:pt idx="17">
                  <c:v>481</c:v>
                </c:pt>
                <c:pt idx="18">
                  <c:v>624</c:v>
                </c:pt>
                <c:pt idx="19">
                  <c:v>1243</c:v>
                </c:pt>
                <c:pt idx="20">
                  <c:v>3145</c:v>
                </c:pt>
                <c:pt idx="21">
                  <c:v>1580</c:v>
                </c:pt>
                <c:pt idx="22">
                  <c:v>1253</c:v>
                </c:pt>
                <c:pt idx="23">
                  <c:v>940</c:v>
                </c:pt>
                <c:pt idx="24">
                  <c:v>629</c:v>
                </c:pt>
                <c:pt idx="25">
                  <c:v>619</c:v>
                </c:pt>
                <c:pt idx="26">
                  <c:v>935</c:v>
                </c:pt>
                <c:pt idx="27">
                  <c:v>1244</c:v>
                </c:pt>
                <c:pt idx="28">
                  <c:v>1567</c:v>
                </c:pt>
                <c:pt idx="29">
                  <c:v>3129</c:v>
                </c:pt>
                <c:pt idx="30">
                  <c:v>6297</c:v>
                </c:pt>
                <c:pt idx="31">
                  <c:v>3122</c:v>
                </c:pt>
                <c:pt idx="32">
                  <c:v>2482</c:v>
                </c:pt>
                <c:pt idx="33">
                  <c:v>1869</c:v>
                </c:pt>
                <c:pt idx="34">
                  <c:v>1273</c:v>
                </c:pt>
                <c:pt idx="35">
                  <c:v>1276</c:v>
                </c:pt>
                <c:pt idx="36">
                  <c:v>1895</c:v>
                </c:pt>
                <c:pt idx="37">
                  <c:v>2498</c:v>
                </c:pt>
                <c:pt idx="38">
                  <c:v>3118</c:v>
                </c:pt>
                <c:pt idx="39">
                  <c:v>6228</c:v>
                </c:pt>
                <c:pt idx="40">
                  <c:v>7770</c:v>
                </c:pt>
                <c:pt idx="41">
                  <c:v>6294</c:v>
                </c:pt>
                <c:pt idx="42">
                  <c:v>4690</c:v>
                </c:pt>
                <c:pt idx="43">
                  <c:v>3090</c:v>
                </c:pt>
                <c:pt idx="44">
                  <c:v>3172</c:v>
                </c:pt>
                <c:pt idx="45">
                  <c:v>4713</c:v>
                </c:pt>
                <c:pt idx="46">
                  <c:v>6276</c:v>
                </c:pt>
                <c:pt idx="47">
                  <c:v>7835</c:v>
                </c:pt>
                <c:pt idx="48">
                  <c:v>9306</c:v>
                </c:pt>
                <c:pt idx="49">
                  <c:v>6251</c:v>
                </c:pt>
                <c:pt idx="50">
                  <c:v>6295</c:v>
                </c:pt>
                <c:pt idx="51">
                  <c:v>9405</c:v>
                </c:pt>
                <c:pt idx="52">
                  <c:v>12515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52960"/>
        <c:axId val="205755520"/>
      </c:lineChart>
      <c:catAx>
        <c:axId val="2057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5520"/>
        <c:crosses val="autoZero"/>
        <c:auto val="1"/>
        <c:lblAlgn val="ctr"/>
        <c:lblOffset val="100"/>
        <c:noMultiLvlLbl val="1"/>
      </c:catAx>
      <c:valAx>
        <c:axId val="2057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2960"/>
        <c:crosses val="autoZero"/>
        <c:crossBetween val="between"/>
      </c:valAx>
      <c:valAx>
        <c:axId val="6417848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80584"/>
        <c:crosses val="max"/>
        <c:crossBetween val="between"/>
      </c:valAx>
      <c:catAx>
        <c:axId val="64178058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4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5-4315-9E86-1BBD36AC7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1568"/>
        <c:axId val="641784192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SPASS!$L$2:$L$91</c:f>
              <c:numCache>
                <c:formatCode>General</c:formatCode>
                <c:ptCount val="53"/>
                <c:pt idx="0">
                  <c:v>896</c:v>
                </c:pt>
                <c:pt idx="1">
                  <c:v>406</c:v>
                </c:pt>
                <c:pt idx="2">
                  <c:v>318</c:v>
                </c:pt>
                <c:pt idx="3">
                  <c:v>213</c:v>
                </c:pt>
                <c:pt idx="4">
                  <c:v>133</c:v>
                </c:pt>
                <c:pt idx="5">
                  <c:v>66</c:v>
                </c:pt>
                <c:pt idx="6">
                  <c:v>78</c:v>
                </c:pt>
                <c:pt idx="7">
                  <c:v>77</c:v>
                </c:pt>
                <c:pt idx="8">
                  <c:v>73</c:v>
                </c:pt>
                <c:pt idx="9">
                  <c:v>82</c:v>
                </c:pt>
                <c:pt idx="10">
                  <c:v>1829</c:v>
                </c:pt>
                <c:pt idx="11">
                  <c:v>825</c:v>
                </c:pt>
                <c:pt idx="12">
                  <c:v>634</c:v>
                </c:pt>
                <c:pt idx="13">
                  <c:v>450</c:v>
                </c:pt>
                <c:pt idx="14">
                  <c:v>270</c:v>
                </c:pt>
                <c:pt idx="15">
                  <c:v>134</c:v>
                </c:pt>
                <c:pt idx="16">
                  <c:v>162</c:v>
                </c:pt>
                <c:pt idx="17">
                  <c:v>183</c:v>
                </c:pt>
                <c:pt idx="18">
                  <c:v>162</c:v>
                </c:pt>
                <c:pt idx="19">
                  <c:v>182</c:v>
                </c:pt>
                <c:pt idx="20">
                  <c:v>4522</c:v>
                </c:pt>
                <c:pt idx="21">
                  <c:v>2067</c:v>
                </c:pt>
                <c:pt idx="22">
                  <c:v>1598</c:v>
                </c:pt>
                <c:pt idx="23">
                  <c:v>1134</c:v>
                </c:pt>
                <c:pt idx="24">
                  <c:v>640</c:v>
                </c:pt>
                <c:pt idx="25">
                  <c:v>347</c:v>
                </c:pt>
                <c:pt idx="26">
                  <c:v>365</c:v>
                </c:pt>
                <c:pt idx="27">
                  <c:v>415</c:v>
                </c:pt>
                <c:pt idx="28">
                  <c:v>400</c:v>
                </c:pt>
                <c:pt idx="29">
                  <c:v>491</c:v>
                </c:pt>
                <c:pt idx="30">
                  <c:v>9060</c:v>
                </c:pt>
                <c:pt idx="31">
                  <c:v>4156</c:v>
                </c:pt>
                <c:pt idx="32">
                  <c:v>3172</c:v>
                </c:pt>
                <c:pt idx="33">
                  <c:v>2266</c:v>
                </c:pt>
                <c:pt idx="34">
                  <c:v>1346</c:v>
                </c:pt>
                <c:pt idx="35">
                  <c:v>667</c:v>
                </c:pt>
                <c:pt idx="36">
                  <c:v>763</c:v>
                </c:pt>
                <c:pt idx="37">
                  <c:v>836</c:v>
                </c:pt>
                <c:pt idx="38">
                  <c:v>834</c:v>
                </c:pt>
                <c:pt idx="39">
                  <c:v>931</c:v>
                </c:pt>
                <c:pt idx="40">
                  <c:v>10380</c:v>
                </c:pt>
                <c:pt idx="41">
                  <c:v>8013</c:v>
                </c:pt>
                <c:pt idx="42">
                  <c:v>5598</c:v>
                </c:pt>
                <c:pt idx="43">
                  <c:v>3332</c:v>
                </c:pt>
                <c:pt idx="44">
                  <c:v>1664</c:v>
                </c:pt>
                <c:pt idx="45">
                  <c:v>1893</c:v>
                </c:pt>
                <c:pt idx="46">
                  <c:v>1998</c:v>
                </c:pt>
                <c:pt idx="47">
                  <c:v>2087</c:v>
                </c:pt>
                <c:pt idx="48">
                  <c:v>11178</c:v>
                </c:pt>
                <c:pt idx="49">
                  <c:v>6615</c:v>
                </c:pt>
                <c:pt idx="50">
                  <c:v>3360</c:v>
                </c:pt>
                <c:pt idx="51">
                  <c:v>3780</c:v>
                </c:pt>
                <c:pt idx="52">
                  <c:v>4075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21152"/>
        <c:axId val="206323712"/>
      </c:lineChart>
      <c:catAx>
        <c:axId val="2063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3712"/>
        <c:crosses val="autoZero"/>
        <c:auto val="1"/>
        <c:lblAlgn val="ctr"/>
        <c:lblOffset val="100"/>
        <c:noMultiLvlLbl val="1"/>
      </c:catAx>
      <c:valAx>
        <c:axId val="2063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1152"/>
        <c:crosses val="autoZero"/>
        <c:crossBetween val="between"/>
      </c:valAx>
      <c:valAx>
        <c:axId val="6417841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81568"/>
        <c:crosses val="max"/>
        <c:crossBetween val="between"/>
      </c:valAx>
      <c:catAx>
        <c:axId val="64178156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4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99-49EC-A753-BA6B8080A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63528"/>
        <c:axId val="64178878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SPASS!$M$2:$M$91</c:f>
              <c:numCache>
                <c:formatCode>General</c:formatCode>
                <c:ptCount val="53"/>
                <c:pt idx="0">
                  <c:v>86</c:v>
                </c:pt>
                <c:pt idx="1">
                  <c:v>85</c:v>
                </c:pt>
                <c:pt idx="2">
                  <c:v>81</c:v>
                </c:pt>
                <c:pt idx="3">
                  <c:v>85</c:v>
                </c:pt>
                <c:pt idx="4">
                  <c:v>65</c:v>
                </c:pt>
                <c:pt idx="5">
                  <c:v>133</c:v>
                </c:pt>
                <c:pt idx="6">
                  <c:v>221</c:v>
                </c:pt>
                <c:pt idx="7">
                  <c:v>319</c:v>
                </c:pt>
                <c:pt idx="8">
                  <c:v>414</c:v>
                </c:pt>
                <c:pt idx="9">
                  <c:v>897</c:v>
                </c:pt>
                <c:pt idx="10">
                  <c:v>153</c:v>
                </c:pt>
                <c:pt idx="11">
                  <c:v>163</c:v>
                </c:pt>
                <c:pt idx="12">
                  <c:v>154</c:v>
                </c:pt>
                <c:pt idx="13">
                  <c:v>146</c:v>
                </c:pt>
                <c:pt idx="14">
                  <c:v>130</c:v>
                </c:pt>
                <c:pt idx="15">
                  <c:v>265</c:v>
                </c:pt>
                <c:pt idx="16">
                  <c:v>434</c:v>
                </c:pt>
                <c:pt idx="17">
                  <c:v>612</c:v>
                </c:pt>
                <c:pt idx="18">
                  <c:v>831</c:v>
                </c:pt>
                <c:pt idx="19">
                  <c:v>1787</c:v>
                </c:pt>
                <c:pt idx="20">
                  <c:v>447</c:v>
                </c:pt>
                <c:pt idx="21">
                  <c:v>423</c:v>
                </c:pt>
                <c:pt idx="22">
                  <c:v>394</c:v>
                </c:pt>
                <c:pt idx="23">
                  <c:v>363</c:v>
                </c:pt>
                <c:pt idx="24">
                  <c:v>354</c:v>
                </c:pt>
                <c:pt idx="25">
                  <c:v>649</c:v>
                </c:pt>
                <c:pt idx="26">
                  <c:v>1134</c:v>
                </c:pt>
                <c:pt idx="27">
                  <c:v>1581</c:v>
                </c:pt>
                <c:pt idx="28">
                  <c:v>2087</c:v>
                </c:pt>
                <c:pt idx="29">
                  <c:v>4478</c:v>
                </c:pt>
                <c:pt idx="30">
                  <c:v>908</c:v>
                </c:pt>
                <c:pt idx="31">
                  <c:v>834</c:v>
                </c:pt>
                <c:pt idx="32">
                  <c:v>818</c:v>
                </c:pt>
                <c:pt idx="33">
                  <c:v>732</c:v>
                </c:pt>
                <c:pt idx="34">
                  <c:v>653</c:v>
                </c:pt>
                <c:pt idx="35">
                  <c:v>1332</c:v>
                </c:pt>
                <c:pt idx="36">
                  <c:v>2230</c:v>
                </c:pt>
                <c:pt idx="37">
                  <c:v>3155</c:v>
                </c:pt>
                <c:pt idx="38">
                  <c:v>4154</c:v>
                </c:pt>
                <c:pt idx="39">
                  <c:v>9041</c:v>
                </c:pt>
                <c:pt idx="40">
                  <c:v>2100</c:v>
                </c:pt>
                <c:pt idx="41">
                  <c:v>1975</c:v>
                </c:pt>
                <c:pt idx="42">
                  <c:v>1893</c:v>
                </c:pt>
                <c:pt idx="43">
                  <c:v>1664</c:v>
                </c:pt>
                <c:pt idx="44">
                  <c:v>3333</c:v>
                </c:pt>
                <c:pt idx="45">
                  <c:v>5603</c:v>
                </c:pt>
                <c:pt idx="46">
                  <c:v>7992</c:v>
                </c:pt>
                <c:pt idx="47">
                  <c:v>10401</c:v>
                </c:pt>
                <c:pt idx="48">
                  <c:v>3818</c:v>
                </c:pt>
                <c:pt idx="49">
                  <c:v>3383</c:v>
                </c:pt>
                <c:pt idx="50">
                  <c:v>6636</c:v>
                </c:pt>
                <c:pt idx="51">
                  <c:v>11218</c:v>
                </c:pt>
                <c:pt idx="52">
                  <c:v>15916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52768"/>
        <c:axId val="206355072"/>
      </c:lineChart>
      <c:catAx>
        <c:axId val="20635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5072"/>
        <c:crosses val="autoZero"/>
        <c:auto val="1"/>
        <c:lblAlgn val="ctr"/>
        <c:lblOffset val="100"/>
        <c:noMultiLvlLbl val="1"/>
      </c:catAx>
      <c:valAx>
        <c:axId val="2063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2768"/>
        <c:crosses val="autoZero"/>
        <c:crossBetween val="between"/>
      </c:valAx>
      <c:valAx>
        <c:axId val="6417887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63528"/>
        <c:crosses val="max"/>
        <c:crossBetween val="between"/>
      </c:valAx>
      <c:catAx>
        <c:axId val="64176352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8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AD-49FA-9437-4F401E7EA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43192"/>
        <c:axId val="7728408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SPASS!$I$2:$I$91</c:f>
              <c:numCache>
                <c:formatCode>General</c:formatCode>
                <c:ptCount val="53"/>
                <c:pt idx="0">
                  <c:v>1000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2000</c:v>
                </c:pt>
                <c:pt idx="11">
                  <c:v>1000</c:v>
                </c:pt>
                <c:pt idx="12">
                  <c:v>800</c:v>
                </c:pt>
                <c:pt idx="13">
                  <c:v>600</c:v>
                </c:pt>
                <c:pt idx="14">
                  <c:v>400</c:v>
                </c:pt>
                <c:pt idx="15">
                  <c:v>400</c:v>
                </c:pt>
                <c:pt idx="16">
                  <c:v>600</c:v>
                </c:pt>
                <c:pt idx="17">
                  <c:v>800</c:v>
                </c:pt>
                <c:pt idx="18">
                  <c:v>1000</c:v>
                </c:pt>
                <c:pt idx="19">
                  <c:v>2000</c:v>
                </c:pt>
                <c:pt idx="20">
                  <c:v>5000</c:v>
                </c:pt>
                <c:pt idx="21">
                  <c:v>2500</c:v>
                </c:pt>
                <c:pt idx="22">
                  <c:v>2000</c:v>
                </c:pt>
                <c:pt idx="23">
                  <c:v>1500</c:v>
                </c:pt>
                <c:pt idx="24">
                  <c:v>1000</c:v>
                </c:pt>
                <c:pt idx="25">
                  <c:v>1000</c:v>
                </c:pt>
                <c:pt idx="26">
                  <c:v>1500</c:v>
                </c:pt>
                <c:pt idx="27">
                  <c:v>2000</c:v>
                </c:pt>
                <c:pt idx="28">
                  <c:v>2500</c:v>
                </c:pt>
                <c:pt idx="29">
                  <c:v>5000</c:v>
                </c:pt>
                <c:pt idx="30">
                  <c:v>10000</c:v>
                </c:pt>
                <c:pt idx="31">
                  <c:v>5000</c:v>
                </c:pt>
                <c:pt idx="32">
                  <c:v>4000</c:v>
                </c:pt>
                <c:pt idx="33">
                  <c:v>3000</c:v>
                </c:pt>
                <c:pt idx="34">
                  <c:v>2000</c:v>
                </c:pt>
                <c:pt idx="35">
                  <c:v>2000</c:v>
                </c:pt>
                <c:pt idx="36">
                  <c:v>3000</c:v>
                </c:pt>
                <c:pt idx="37">
                  <c:v>4000</c:v>
                </c:pt>
                <c:pt idx="38">
                  <c:v>5000</c:v>
                </c:pt>
                <c:pt idx="39">
                  <c:v>10000</c:v>
                </c:pt>
                <c:pt idx="40">
                  <c:v>12500</c:v>
                </c:pt>
                <c:pt idx="41">
                  <c:v>10000</c:v>
                </c:pt>
                <c:pt idx="42">
                  <c:v>7500</c:v>
                </c:pt>
                <c:pt idx="43">
                  <c:v>5000</c:v>
                </c:pt>
                <c:pt idx="44">
                  <c:v>5000</c:v>
                </c:pt>
                <c:pt idx="45">
                  <c:v>7500</c:v>
                </c:pt>
                <c:pt idx="46">
                  <c:v>10000</c:v>
                </c:pt>
                <c:pt idx="47">
                  <c:v>12500</c:v>
                </c:pt>
                <c:pt idx="48">
                  <c:v>15000</c:v>
                </c:pt>
                <c:pt idx="49">
                  <c:v>10000</c:v>
                </c:pt>
                <c:pt idx="50">
                  <c:v>10000</c:v>
                </c:pt>
                <c:pt idx="51">
                  <c:v>15000</c:v>
                </c:pt>
                <c:pt idx="52">
                  <c:v>20000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183232"/>
        <c:axId val="207202176"/>
      </c:lineChart>
      <c:catAx>
        <c:axId val="20718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02176"/>
        <c:crosses val="autoZero"/>
        <c:auto val="1"/>
        <c:lblAlgn val="ctr"/>
        <c:lblOffset val="100"/>
        <c:noMultiLvlLbl val="0"/>
      </c:catAx>
      <c:valAx>
        <c:axId val="2072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3232"/>
        <c:crosses val="autoZero"/>
        <c:crossBetween val="between"/>
      </c:valAx>
      <c:valAx>
        <c:axId val="7728408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43192"/>
        <c:crosses val="max"/>
        <c:crossBetween val="between"/>
      </c:valAx>
      <c:catAx>
        <c:axId val="7728431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40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93-4716-8666-2DFB1A50D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5622704"/>
        <c:axId val="785629920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SPASS!$K$2:$K$91</c:f>
              <c:numCache>
                <c:formatCode>General</c:formatCode>
                <c:ptCount val="53"/>
                <c:pt idx="0">
                  <c:v>635</c:v>
                </c:pt>
                <c:pt idx="1">
                  <c:v>315</c:v>
                </c:pt>
                <c:pt idx="2">
                  <c:v>258</c:v>
                </c:pt>
                <c:pt idx="3">
                  <c:v>195</c:v>
                </c:pt>
                <c:pt idx="4">
                  <c:v>127</c:v>
                </c:pt>
                <c:pt idx="5">
                  <c:v>122</c:v>
                </c:pt>
                <c:pt idx="6">
                  <c:v>190</c:v>
                </c:pt>
                <c:pt idx="7">
                  <c:v>248</c:v>
                </c:pt>
                <c:pt idx="8">
                  <c:v>320</c:v>
                </c:pt>
                <c:pt idx="9">
                  <c:v>617</c:v>
                </c:pt>
                <c:pt idx="10">
                  <c:v>1258</c:v>
                </c:pt>
                <c:pt idx="11">
                  <c:v>620</c:v>
                </c:pt>
                <c:pt idx="12">
                  <c:v>492</c:v>
                </c:pt>
                <c:pt idx="13">
                  <c:v>372</c:v>
                </c:pt>
                <c:pt idx="14">
                  <c:v>244</c:v>
                </c:pt>
                <c:pt idx="15">
                  <c:v>244</c:v>
                </c:pt>
                <c:pt idx="16">
                  <c:v>377</c:v>
                </c:pt>
                <c:pt idx="17">
                  <c:v>481</c:v>
                </c:pt>
                <c:pt idx="18">
                  <c:v>624</c:v>
                </c:pt>
                <c:pt idx="19">
                  <c:v>1243</c:v>
                </c:pt>
                <c:pt idx="20">
                  <c:v>3145</c:v>
                </c:pt>
                <c:pt idx="21">
                  <c:v>1580</c:v>
                </c:pt>
                <c:pt idx="22">
                  <c:v>1253</c:v>
                </c:pt>
                <c:pt idx="23">
                  <c:v>940</c:v>
                </c:pt>
                <c:pt idx="24">
                  <c:v>629</c:v>
                </c:pt>
                <c:pt idx="25">
                  <c:v>619</c:v>
                </c:pt>
                <c:pt idx="26">
                  <c:v>935</c:v>
                </c:pt>
                <c:pt idx="27">
                  <c:v>1244</c:v>
                </c:pt>
                <c:pt idx="28">
                  <c:v>1567</c:v>
                </c:pt>
                <c:pt idx="29">
                  <c:v>3129</c:v>
                </c:pt>
                <c:pt idx="30">
                  <c:v>6297</c:v>
                </c:pt>
                <c:pt idx="31">
                  <c:v>3122</c:v>
                </c:pt>
                <c:pt idx="32">
                  <c:v>2482</c:v>
                </c:pt>
                <c:pt idx="33">
                  <c:v>1869</c:v>
                </c:pt>
                <c:pt idx="34">
                  <c:v>1273</c:v>
                </c:pt>
                <c:pt idx="35">
                  <c:v>1276</c:v>
                </c:pt>
                <c:pt idx="36">
                  <c:v>1895</c:v>
                </c:pt>
                <c:pt idx="37">
                  <c:v>2498</c:v>
                </c:pt>
                <c:pt idx="38">
                  <c:v>3118</c:v>
                </c:pt>
                <c:pt idx="39">
                  <c:v>6228</c:v>
                </c:pt>
                <c:pt idx="40">
                  <c:v>7770</c:v>
                </c:pt>
                <c:pt idx="41">
                  <c:v>6294</c:v>
                </c:pt>
                <c:pt idx="42">
                  <c:v>4690</c:v>
                </c:pt>
                <c:pt idx="43">
                  <c:v>3090</c:v>
                </c:pt>
                <c:pt idx="44">
                  <c:v>3172</c:v>
                </c:pt>
                <c:pt idx="45">
                  <c:v>4713</c:v>
                </c:pt>
                <c:pt idx="46">
                  <c:v>6276</c:v>
                </c:pt>
                <c:pt idx="47">
                  <c:v>7835</c:v>
                </c:pt>
                <c:pt idx="48">
                  <c:v>9306</c:v>
                </c:pt>
                <c:pt idx="49">
                  <c:v>6251</c:v>
                </c:pt>
                <c:pt idx="50">
                  <c:v>6295</c:v>
                </c:pt>
                <c:pt idx="51">
                  <c:v>9405</c:v>
                </c:pt>
                <c:pt idx="52">
                  <c:v>12515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39808"/>
        <c:axId val="207242368"/>
      </c:lineChart>
      <c:catAx>
        <c:axId val="20723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42368"/>
        <c:crosses val="autoZero"/>
        <c:auto val="1"/>
        <c:lblAlgn val="ctr"/>
        <c:lblOffset val="100"/>
        <c:noMultiLvlLbl val="0"/>
      </c:catAx>
      <c:valAx>
        <c:axId val="2072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39808"/>
        <c:crosses val="autoZero"/>
        <c:crossBetween val="between"/>
      </c:valAx>
      <c:valAx>
        <c:axId val="7856299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85622704"/>
        <c:crosses val="max"/>
        <c:crossBetween val="between"/>
      </c:valAx>
      <c:catAx>
        <c:axId val="78562270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85629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18-499B-9962-58DBCCACB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41224"/>
        <c:axId val="77283892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SPASS!$L$2:$L$91</c:f>
              <c:numCache>
                <c:formatCode>General</c:formatCode>
                <c:ptCount val="53"/>
                <c:pt idx="0">
                  <c:v>896</c:v>
                </c:pt>
                <c:pt idx="1">
                  <c:v>406</c:v>
                </c:pt>
                <c:pt idx="2">
                  <c:v>318</c:v>
                </c:pt>
                <c:pt idx="3">
                  <c:v>213</c:v>
                </c:pt>
                <c:pt idx="4">
                  <c:v>133</c:v>
                </c:pt>
                <c:pt idx="5">
                  <c:v>66</c:v>
                </c:pt>
                <c:pt idx="6">
                  <c:v>78</c:v>
                </c:pt>
                <c:pt idx="7">
                  <c:v>77</c:v>
                </c:pt>
                <c:pt idx="8">
                  <c:v>73</c:v>
                </c:pt>
                <c:pt idx="9">
                  <c:v>82</c:v>
                </c:pt>
                <c:pt idx="10">
                  <c:v>1829</c:v>
                </c:pt>
                <c:pt idx="11">
                  <c:v>825</c:v>
                </c:pt>
                <c:pt idx="12">
                  <c:v>634</c:v>
                </c:pt>
                <c:pt idx="13">
                  <c:v>450</c:v>
                </c:pt>
                <c:pt idx="14">
                  <c:v>270</c:v>
                </c:pt>
                <c:pt idx="15">
                  <c:v>134</c:v>
                </c:pt>
                <c:pt idx="16">
                  <c:v>162</c:v>
                </c:pt>
                <c:pt idx="17">
                  <c:v>183</c:v>
                </c:pt>
                <c:pt idx="18">
                  <c:v>162</c:v>
                </c:pt>
                <c:pt idx="19">
                  <c:v>182</c:v>
                </c:pt>
                <c:pt idx="20">
                  <c:v>4522</c:v>
                </c:pt>
                <c:pt idx="21">
                  <c:v>2067</c:v>
                </c:pt>
                <c:pt idx="22">
                  <c:v>1598</c:v>
                </c:pt>
                <c:pt idx="23">
                  <c:v>1134</c:v>
                </c:pt>
                <c:pt idx="24">
                  <c:v>640</c:v>
                </c:pt>
                <c:pt idx="25">
                  <c:v>347</c:v>
                </c:pt>
                <c:pt idx="26">
                  <c:v>365</c:v>
                </c:pt>
                <c:pt idx="27">
                  <c:v>415</c:v>
                </c:pt>
                <c:pt idx="28">
                  <c:v>400</c:v>
                </c:pt>
                <c:pt idx="29">
                  <c:v>491</c:v>
                </c:pt>
                <c:pt idx="30">
                  <c:v>9060</c:v>
                </c:pt>
                <c:pt idx="31">
                  <c:v>4156</c:v>
                </c:pt>
                <c:pt idx="32">
                  <c:v>3172</c:v>
                </c:pt>
                <c:pt idx="33">
                  <c:v>2266</c:v>
                </c:pt>
                <c:pt idx="34">
                  <c:v>1346</c:v>
                </c:pt>
                <c:pt idx="35">
                  <c:v>667</c:v>
                </c:pt>
                <c:pt idx="36">
                  <c:v>763</c:v>
                </c:pt>
                <c:pt idx="37">
                  <c:v>836</c:v>
                </c:pt>
                <c:pt idx="38">
                  <c:v>834</c:v>
                </c:pt>
                <c:pt idx="39">
                  <c:v>931</c:v>
                </c:pt>
                <c:pt idx="40">
                  <c:v>10380</c:v>
                </c:pt>
                <c:pt idx="41">
                  <c:v>8013</c:v>
                </c:pt>
                <c:pt idx="42">
                  <c:v>5598</c:v>
                </c:pt>
                <c:pt idx="43">
                  <c:v>3332</c:v>
                </c:pt>
                <c:pt idx="44">
                  <c:v>1664</c:v>
                </c:pt>
                <c:pt idx="45">
                  <c:v>1893</c:v>
                </c:pt>
                <c:pt idx="46">
                  <c:v>1998</c:v>
                </c:pt>
                <c:pt idx="47">
                  <c:v>2087</c:v>
                </c:pt>
                <c:pt idx="48">
                  <c:v>11178</c:v>
                </c:pt>
                <c:pt idx="49">
                  <c:v>6615</c:v>
                </c:pt>
                <c:pt idx="50">
                  <c:v>3360</c:v>
                </c:pt>
                <c:pt idx="51">
                  <c:v>3780</c:v>
                </c:pt>
                <c:pt idx="52">
                  <c:v>4075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80000"/>
        <c:axId val="207290752"/>
      </c:lineChart>
      <c:catAx>
        <c:axId val="20728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0752"/>
        <c:crosses val="autoZero"/>
        <c:auto val="1"/>
        <c:lblAlgn val="ctr"/>
        <c:lblOffset val="100"/>
        <c:noMultiLvlLbl val="0"/>
      </c:catAx>
      <c:valAx>
        <c:axId val="20729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80000"/>
        <c:crosses val="autoZero"/>
        <c:crossBetween val="between"/>
      </c:valAx>
      <c:valAx>
        <c:axId val="7728389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41224"/>
        <c:crosses val="max"/>
        <c:crossBetween val="between"/>
      </c:valAx>
      <c:catAx>
        <c:axId val="77284122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8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3-478C-8750-757D721D3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59592"/>
        <c:axId val="6417572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SPASS!$M$2:$M$91</c:f>
              <c:numCache>
                <c:formatCode>General</c:formatCode>
                <c:ptCount val="53"/>
                <c:pt idx="0">
                  <c:v>86</c:v>
                </c:pt>
                <c:pt idx="1">
                  <c:v>85</c:v>
                </c:pt>
                <c:pt idx="2">
                  <c:v>81</c:v>
                </c:pt>
                <c:pt idx="3">
                  <c:v>85</c:v>
                </c:pt>
                <c:pt idx="4">
                  <c:v>65</c:v>
                </c:pt>
                <c:pt idx="5">
                  <c:v>133</c:v>
                </c:pt>
                <c:pt idx="6">
                  <c:v>221</c:v>
                </c:pt>
                <c:pt idx="7">
                  <c:v>319</c:v>
                </c:pt>
                <c:pt idx="8">
                  <c:v>414</c:v>
                </c:pt>
                <c:pt idx="9">
                  <c:v>897</c:v>
                </c:pt>
                <c:pt idx="10">
                  <c:v>153</c:v>
                </c:pt>
                <c:pt idx="11">
                  <c:v>163</c:v>
                </c:pt>
                <c:pt idx="12">
                  <c:v>154</c:v>
                </c:pt>
                <c:pt idx="13">
                  <c:v>146</c:v>
                </c:pt>
                <c:pt idx="14">
                  <c:v>130</c:v>
                </c:pt>
                <c:pt idx="15">
                  <c:v>265</c:v>
                </c:pt>
                <c:pt idx="16">
                  <c:v>434</c:v>
                </c:pt>
                <c:pt idx="17">
                  <c:v>612</c:v>
                </c:pt>
                <c:pt idx="18">
                  <c:v>831</c:v>
                </c:pt>
                <c:pt idx="19">
                  <c:v>1787</c:v>
                </c:pt>
                <c:pt idx="20">
                  <c:v>447</c:v>
                </c:pt>
                <c:pt idx="21">
                  <c:v>423</c:v>
                </c:pt>
                <c:pt idx="22">
                  <c:v>394</c:v>
                </c:pt>
                <c:pt idx="23">
                  <c:v>363</c:v>
                </c:pt>
                <c:pt idx="24">
                  <c:v>354</c:v>
                </c:pt>
                <c:pt idx="25">
                  <c:v>649</c:v>
                </c:pt>
                <c:pt idx="26">
                  <c:v>1134</c:v>
                </c:pt>
                <c:pt idx="27">
                  <c:v>1581</c:v>
                </c:pt>
                <c:pt idx="28">
                  <c:v>2087</c:v>
                </c:pt>
                <c:pt idx="29">
                  <c:v>4478</c:v>
                </c:pt>
                <c:pt idx="30">
                  <c:v>908</c:v>
                </c:pt>
                <c:pt idx="31">
                  <c:v>834</c:v>
                </c:pt>
                <c:pt idx="32">
                  <c:v>818</c:v>
                </c:pt>
                <c:pt idx="33">
                  <c:v>732</c:v>
                </c:pt>
                <c:pt idx="34">
                  <c:v>653</c:v>
                </c:pt>
                <c:pt idx="35">
                  <c:v>1332</c:v>
                </c:pt>
                <c:pt idx="36">
                  <c:v>2230</c:v>
                </c:pt>
                <c:pt idx="37">
                  <c:v>3155</c:v>
                </c:pt>
                <c:pt idx="38">
                  <c:v>4154</c:v>
                </c:pt>
                <c:pt idx="39">
                  <c:v>9041</c:v>
                </c:pt>
                <c:pt idx="40">
                  <c:v>2100</c:v>
                </c:pt>
                <c:pt idx="41">
                  <c:v>1975</c:v>
                </c:pt>
                <c:pt idx="42">
                  <c:v>1893</c:v>
                </c:pt>
                <c:pt idx="43">
                  <c:v>1664</c:v>
                </c:pt>
                <c:pt idx="44">
                  <c:v>3333</c:v>
                </c:pt>
                <c:pt idx="45">
                  <c:v>5603</c:v>
                </c:pt>
                <c:pt idx="46">
                  <c:v>7992</c:v>
                </c:pt>
                <c:pt idx="47">
                  <c:v>10401</c:v>
                </c:pt>
                <c:pt idx="48">
                  <c:v>3818</c:v>
                </c:pt>
                <c:pt idx="49">
                  <c:v>3383</c:v>
                </c:pt>
                <c:pt idx="50">
                  <c:v>6636</c:v>
                </c:pt>
                <c:pt idx="51">
                  <c:v>11218</c:v>
                </c:pt>
                <c:pt idx="52">
                  <c:v>15916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316096"/>
        <c:axId val="207318400"/>
      </c:lineChart>
      <c:catAx>
        <c:axId val="20731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8400"/>
        <c:crosses val="autoZero"/>
        <c:auto val="1"/>
        <c:lblAlgn val="ctr"/>
        <c:lblOffset val="100"/>
        <c:noMultiLvlLbl val="0"/>
      </c:catAx>
      <c:valAx>
        <c:axId val="2073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6096"/>
        <c:crosses val="autoZero"/>
        <c:crossBetween val="between"/>
      </c:valAx>
      <c:valAx>
        <c:axId val="6417572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59592"/>
        <c:crosses val="max"/>
        <c:crossBetween val="between"/>
      </c:valAx>
      <c:catAx>
        <c:axId val="6417595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57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92</xdr:row>
      <xdr:rowOff>70757</xdr:rowOff>
    </xdr:from>
    <xdr:to>
      <xdr:col>2</xdr:col>
      <xdr:colOff>1945821</xdr:colOff>
      <xdr:row>116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118</xdr:row>
      <xdr:rowOff>111580</xdr:rowOff>
    </xdr:from>
    <xdr:to>
      <xdr:col>2</xdr:col>
      <xdr:colOff>1932215</xdr:colOff>
      <xdr:row>143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92</xdr:row>
      <xdr:rowOff>68036</xdr:rowOff>
    </xdr:from>
    <xdr:to>
      <xdr:col>3</xdr:col>
      <xdr:colOff>4143375</xdr:colOff>
      <xdr:row>116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92</xdr:row>
      <xdr:rowOff>40821</xdr:rowOff>
    </xdr:from>
    <xdr:to>
      <xdr:col>8</xdr:col>
      <xdr:colOff>2061483</xdr:colOff>
      <xdr:row>116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92</xdr:row>
      <xdr:rowOff>27214</xdr:rowOff>
    </xdr:from>
    <xdr:to>
      <xdr:col>10</xdr:col>
      <xdr:colOff>727983</xdr:colOff>
      <xdr:row>116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92</xdr:row>
      <xdr:rowOff>27214</xdr:rowOff>
    </xdr:from>
    <xdr:to>
      <xdr:col>11</xdr:col>
      <xdr:colOff>3667125</xdr:colOff>
      <xdr:row>116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118</xdr:row>
      <xdr:rowOff>122463</xdr:rowOff>
    </xdr:from>
    <xdr:to>
      <xdr:col>3</xdr:col>
      <xdr:colOff>4136571</xdr:colOff>
      <xdr:row>143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118</xdr:row>
      <xdr:rowOff>163285</xdr:rowOff>
    </xdr:from>
    <xdr:to>
      <xdr:col>8</xdr:col>
      <xdr:colOff>2054678</xdr:colOff>
      <xdr:row>144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118</xdr:row>
      <xdr:rowOff>176891</xdr:rowOff>
    </xdr:from>
    <xdr:to>
      <xdr:col>10</xdr:col>
      <xdr:colOff>748393</xdr:colOff>
      <xdr:row>144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118</xdr:row>
      <xdr:rowOff>163285</xdr:rowOff>
    </xdr:from>
    <xdr:to>
      <xdr:col>11</xdr:col>
      <xdr:colOff>3646714</xdr:colOff>
      <xdr:row>144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96</xdr:row>
          <xdr:rowOff>95250</xdr:rowOff>
        </xdr:from>
        <xdr:to>
          <xdr:col>12</xdr:col>
          <xdr:colOff>3019425</xdr:colOff>
          <xdr:row>101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93</xdr:row>
      <xdr:rowOff>43543</xdr:rowOff>
    </xdr:from>
    <xdr:to>
      <xdr:col>2</xdr:col>
      <xdr:colOff>1680483</xdr:colOff>
      <xdr:row>117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119</xdr:row>
      <xdr:rowOff>84366</xdr:rowOff>
    </xdr:from>
    <xdr:to>
      <xdr:col>2</xdr:col>
      <xdr:colOff>1666877</xdr:colOff>
      <xdr:row>144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93</xdr:row>
      <xdr:rowOff>40822</xdr:rowOff>
    </xdr:from>
    <xdr:to>
      <xdr:col>3</xdr:col>
      <xdr:colOff>3878037</xdr:colOff>
      <xdr:row>117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93</xdr:row>
      <xdr:rowOff>13607</xdr:rowOff>
    </xdr:from>
    <xdr:to>
      <xdr:col>8</xdr:col>
      <xdr:colOff>1796145</xdr:colOff>
      <xdr:row>117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93</xdr:row>
      <xdr:rowOff>0</xdr:rowOff>
    </xdr:from>
    <xdr:to>
      <xdr:col>10</xdr:col>
      <xdr:colOff>462645</xdr:colOff>
      <xdr:row>117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93</xdr:row>
      <xdr:rowOff>0</xdr:rowOff>
    </xdr:from>
    <xdr:to>
      <xdr:col>11</xdr:col>
      <xdr:colOff>3401787</xdr:colOff>
      <xdr:row>117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119</xdr:row>
      <xdr:rowOff>95249</xdr:rowOff>
    </xdr:from>
    <xdr:to>
      <xdr:col>3</xdr:col>
      <xdr:colOff>3871233</xdr:colOff>
      <xdr:row>144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119</xdr:row>
      <xdr:rowOff>136071</xdr:rowOff>
    </xdr:from>
    <xdr:to>
      <xdr:col>8</xdr:col>
      <xdr:colOff>1789340</xdr:colOff>
      <xdr:row>144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119</xdr:row>
      <xdr:rowOff>149677</xdr:rowOff>
    </xdr:from>
    <xdr:to>
      <xdr:col>10</xdr:col>
      <xdr:colOff>483055</xdr:colOff>
      <xdr:row>145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119</xdr:row>
      <xdr:rowOff>136071</xdr:rowOff>
    </xdr:from>
    <xdr:to>
      <xdr:col>11</xdr:col>
      <xdr:colOff>3381376</xdr:colOff>
      <xdr:row>145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94</xdr:row>
          <xdr:rowOff>95250</xdr:rowOff>
        </xdr:from>
        <xdr:to>
          <xdr:col>12</xdr:col>
          <xdr:colOff>4343400</xdr:colOff>
          <xdr:row>100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Q91" tableType="queryTable" totalsRowShown="0">
  <autoFilter ref="A1:Q91" xr:uid="{8C1FFF6C-DCB7-4009-BAE4-BAE56F91CD1C}">
    <filterColumn colId="1">
      <filters>
        <filter val="Prover9 test set_2"/>
      </filters>
    </filterColumn>
  </autoFilter>
  <sortState ref="A2:Q91">
    <sortCondition ref="H2"/>
  </sortState>
  <tableColumns count="17">
    <tableColumn id="1" xr3:uid="{34386055-649C-4C76-A11A-A2A2959A9E19}" uniqueName="1" name="program_name.program_name" queryTableFieldId="1" dataDxfId="16"/>
    <tableColumn id="2" xr3:uid="{F4794826-DDB8-4D95-93BB-07F73D99FE6E}" uniqueName="2" name="program_name.test_cases.name" queryTableFieldId="2" dataDxfId="15"/>
    <tableColumn id="3" xr3:uid="{8F00BC71-175C-44FE-9E26-CA638BDDFADB}" uniqueName="3" name="program_name.test_cases.execution_statistics.execution_time" queryTableFieldId="3" dataDxfId="14"/>
    <tableColumn id="4" xr3:uid="{DFA7E48F-6D86-482F-80AE-98DEA272E41A}" uniqueName="4" name="program_name.test_cases.execution_statistics.peak_memory" queryTableFieldId="4" dataDxfId="13"/>
    <tableColumn id="5" xr3:uid="{23A7B2E3-8582-416D-A890-A640F193E84E}" uniqueName="5" name="program_name.test_cases.input.path" queryTableFieldId="5" dataDxfId="12"/>
    <tableColumn id="6" xr3:uid="{2C5CCD37-4719-4356-A00E-9C718E0FAFBC}" uniqueName="6" name="program_name.test_cases.input.SAT_type" queryTableFieldId="6" dataDxfId="11"/>
    <tableColumn id="7" xr3:uid="{F51720C0-1045-46BB-B74E-E315E495754C}" uniqueName="7" name="program_name.test_cases.input.format" queryTableFieldId="7" dataDxfId="10"/>
    <tableColumn id="8" xr3:uid="{70737949-E038-4FD9-9C46-B8155276AB2B}" uniqueName="8" name="program_name.test_cases.input.number_of_clauses" queryTableFieldId="8" dataDxfId="9"/>
    <tableColumn id="9" xr3:uid="{7CB41968-32DC-4F97-83AA-61C0DC7930E0}" uniqueName="9" name="program_name.test_cases.input.number_of_atoms" queryTableFieldId="9" dataDxfId="8"/>
    <tableColumn id="10" xr3:uid="{9F300067-1D5E-409A-B27B-268D2370A828}" uniqueName="10" name="program_name.test_cases.input.maximal_clause_size" queryTableFieldId="10" dataDxfId="7"/>
    <tableColumn id="11" xr3:uid="{48356420-E389-43BF-9C54-80B37BA9FEF6}" uniqueName="11" name="program_name.test_cases.input.number_of_predicates" queryTableFieldId="11" dataDxfId="6"/>
    <tableColumn id="12" xr3:uid="{6454FFED-8409-4ED0-9AA3-B9C58397DC01}" uniqueName="12" name="program_name.test_cases.input.number_of_functors" queryTableFieldId="12" dataDxfId="5"/>
    <tableColumn id="13" xr3:uid="{D99D57D7-CE08-480D-B0F2-8E88A108CA5A}" uniqueName="13" name="program_name.test_cases.input.number_of_variables" queryTableFieldId="13" dataDxfId="4"/>
    <tableColumn id="14" xr3:uid="{4D98FBA6-C4EE-4656-8EEA-D643871C33F5}" uniqueName="14" name="program_name.test_cases.input.maximal_term_depth" queryTableFieldId="14" dataDxfId="3"/>
    <tableColumn id="15" xr3:uid="{EA767C8C-DA02-4F65-839D-7CF36EA584F5}" uniqueName="15" name="program_name.test_cases.output.returncode" queryTableFieldId="15" dataDxfId="2"/>
    <tableColumn id="16" xr3:uid="{A0EE5BF0-4C83-4BB6-954E-B01DF08AF777}" uniqueName="16" name="program_name.test_cases.output.status" queryTableFieldId="16" dataDxfId="1"/>
    <tableColumn id="17" xr3:uid="{7D8CC99C-4EC3-4D36-9A01-04C427A77D82}" uniqueName="17" name="safety  / liveness" queryTableFieldId="17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Q91" tableType="queryTable" totalsRowShown="0">
  <autoFilter ref="A1:Q91" xr:uid="{B49C3F49-11A9-4EA8-BA7F-D66DF1CF46F4}">
    <filterColumn colId="1">
      <filters>
        <filter val="SPASS test set_2"/>
      </filters>
    </filterColumn>
    <filterColumn colId="15">
      <filters blank="1">
        <filter val="satisfiable"/>
      </filters>
    </filterColumn>
  </autoFilter>
  <sortState ref="A2:Q91">
    <sortCondition ref="H2"/>
  </sortState>
  <tableColumns count="17">
    <tableColumn id="1" xr3:uid="{496F816D-5EB4-4303-A5D7-5A076F460669}" uniqueName="1" name="program_name.program_name" queryTableFieldId="1"/>
    <tableColumn id="2" xr3:uid="{2CE1E6B8-516D-490A-A9B1-A921B0D0795F}" uniqueName="2" name="program_name.test_cases.name" queryTableFieldId="2"/>
    <tableColumn id="3" xr3:uid="{FC571235-7B67-477C-8F88-1FC5ADC3392B}" uniqueName="3" name="program_name.test_cases.execution_statistics.execution_time" queryTableFieldId="3"/>
    <tableColumn id="4" xr3:uid="{0EB0DABE-A15B-413D-9E07-67012D792865}" uniqueName="4" name="program_name.test_cases.execution_statistics.peak_memory" queryTableFieldId="4"/>
    <tableColumn id="5" xr3:uid="{A491A0D1-D0A1-4296-820E-F79021A3B36B}" uniqueName="5" name="program_name.test_cases.input.path" queryTableFieldId="5"/>
    <tableColumn id="6" xr3:uid="{422D37F9-F7BC-463A-BB8C-5E93C019AF2C}" uniqueName="6" name="program_name.test_cases.input.SAT_type" queryTableFieldId="6"/>
    <tableColumn id="7" xr3:uid="{2ABDA2E1-0CA7-40BF-8776-11EAEFD7DD3C}" uniqueName="7" name="program_name.test_cases.input.format" queryTableFieldId="7"/>
    <tableColumn id="8" xr3:uid="{D46B707D-3496-4B03-9FBF-3EB23D833B44}" uniqueName="8" name="program_name.test_cases.input.number_of_clauses" queryTableFieldId="8"/>
    <tableColumn id="9" xr3:uid="{BA146D5A-4866-45F0-9ABE-93B5DA2C44D3}" uniqueName="9" name="program_name.test_cases.input.number_of_atoms" queryTableFieldId="9"/>
    <tableColumn id="10" xr3:uid="{390B1123-5632-4C76-9182-84A084737B8A}" uniqueName="10" name="program_name.test_cases.input.maximal_clause_size" queryTableFieldId="10"/>
    <tableColumn id="11" xr3:uid="{73B5A10A-875C-48C5-B96F-7A5515EA6AF0}" uniqueName="11" name="program_name.test_cases.input.number_of_predicates" queryTableFieldId="11"/>
    <tableColumn id="12" xr3:uid="{6038356A-232B-418A-AD05-4F77587B6FDE}" uniqueName="12" name="program_name.test_cases.input.number_of_functors" queryTableFieldId="12"/>
    <tableColumn id="13" xr3:uid="{686B5C02-918B-4865-881E-3DEB1BFC869F}" uniqueName="13" name="program_name.test_cases.input.number_of_variables" queryTableFieldId="13"/>
    <tableColumn id="14" xr3:uid="{A459DFDB-F7F4-42F3-9B88-90881B1AE16E}" uniqueName="14" name="program_name.test_cases.input.maximal_term_depth" queryTableFieldId="14"/>
    <tableColumn id="15" xr3:uid="{BE769DB6-AE76-4B4B-BF63-B444416DA244}" uniqueName="15" name="program_name.test_cases.output.returncode" queryTableFieldId="15"/>
    <tableColumn id="16" xr3:uid="{5F3E38E1-765E-47A4-AA8A-BC68B64855CE}" uniqueName="16" name="program_name.test_cases.output.status" queryTableFieldId="16"/>
    <tableColumn id="17" xr3:uid="{AC34051F-C60F-427D-A865-8101A1948563}" uniqueName="17" name="safety  / liveness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21"/>
  <sheetViews>
    <sheetView tabSelected="1" zoomScale="160" zoomScaleNormal="160" workbookViewId="0">
      <selection activeCell="M104" sqref="M104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24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118</v>
      </c>
    </row>
    <row r="2" spans="1:17" x14ac:dyDescent="0.25">
      <c r="A2" s="1" t="s">
        <v>13</v>
      </c>
      <c r="B2" s="1" t="s">
        <v>26</v>
      </c>
      <c r="C2" s="5">
        <v>0.14497976802522317</v>
      </c>
      <c r="D2" s="3">
        <v>3198976</v>
      </c>
      <c r="E2" s="1" t="s">
        <v>86</v>
      </c>
      <c r="F2" s="1" t="s">
        <v>24</v>
      </c>
      <c r="G2" s="1" t="s">
        <v>25</v>
      </c>
      <c r="H2" s="1">
        <v>100</v>
      </c>
      <c r="I2" s="2">
        <v>1000</v>
      </c>
      <c r="J2" s="2">
        <v>16</v>
      </c>
      <c r="K2" s="2">
        <v>635</v>
      </c>
      <c r="L2" s="2">
        <v>896</v>
      </c>
      <c r="M2" s="2">
        <v>86</v>
      </c>
      <c r="N2" s="2" t="s">
        <v>15</v>
      </c>
      <c r="O2" s="1">
        <v>2</v>
      </c>
      <c r="P2" s="1" t="s">
        <v>18</v>
      </c>
      <c r="Q2" s="6">
        <f>Query1[[#This Row],[program_name.test_cases.input.number_of_variables]]/Query1[[#This Row],[program_name.test_cases.input.number_of_functors]]</f>
        <v>9.5982142857142863E-2</v>
      </c>
    </row>
    <row r="3" spans="1:17" x14ac:dyDescent="0.25">
      <c r="A3" s="1" t="s">
        <v>13</v>
      </c>
      <c r="B3" s="1" t="s">
        <v>26</v>
      </c>
      <c r="C3" s="5">
        <v>4.2780510033480823E-2</v>
      </c>
      <c r="D3" s="3">
        <v>2949120</v>
      </c>
      <c r="E3" s="1" t="s">
        <v>84</v>
      </c>
      <c r="F3" s="1" t="s">
        <v>24</v>
      </c>
      <c r="G3" s="1" t="s">
        <v>25</v>
      </c>
      <c r="H3" s="1">
        <v>100</v>
      </c>
      <c r="I3" s="2">
        <v>500</v>
      </c>
      <c r="J3" s="2">
        <v>8</v>
      </c>
      <c r="K3" s="2">
        <v>315</v>
      </c>
      <c r="L3" s="2">
        <v>406</v>
      </c>
      <c r="M3" s="2">
        <v>85</v>
      </c>
      <c r="N3" s="2" t="s">
        <v>15</v>
      </c>
      <c r="O3" s="1">
        <v>2</v>
      </c>
      <c r="P3" s="1" t="s">
        <v>18</v>
      </c>
      <c r="Q3" s="6">
        <f>Query1[[#This Row],[program_name.test_cases.input.number_of_variables]]/Query1[[#This Row],[program_name.test_cases.input.number_of_functors]]</f>
        <v>0.20935960591133004</v>
      </c>
    </row>
    <row r="4" spans="1:17" hidden="1" x14ac:dyDescent="0.25">
      <c r="A4" t="s">
        <v>13</v>
      </c>
      <c r="B4" t="s">
        <v>14</v>
      </c>
      <c r="C4">
        <v>2.3124239989556372E-2</v>
      </c>
      <c r="D4">
        <v>2748416</v>
      </c>
      <c r="E4" t="s">
        <v>27</v>
      </c>
      <c r="F4" t="s">
        <v>24</v>
      </c>
      <c r="G4" t="s">
        <v>25</v>
      </c>
      <c r="H4">
        <v>100</v>
      </c>
      <c r="I4">
        <v>200</v>
      </c>
      <c r="J4">
        <v>3</v>
      </c>
      <c r="K4">
        <v>127</v>
      </c>
      <c r="L4">
        <v>93</v>
      </c>
      <c r="M4">
        <v>103</v>
      </c>
      <c r="N4" t="s">
        <v>15</v>
      </c>
      <c r="O4">
        <v>0</v>
      </c>
      <c r="P4" t="s">
        <v>17</v>
      </c>
      <c r="Q4" s="3">
        <f>Query1[[#This Row],[program_name.test_cases.input.number_of_variables]]/H4</f>
        <v>1.03</v>
      </c>
    </row>
    <row r="5" spans="1:17" x14ac:dyDescent="0.25">
      <c r="A5" t="s">
        <v>13</v>
      </c>
      <c r="B5" t="s">
        <v>26</v>
      </c>
      <c r="C5">
        <v>3.1820431991945952E-2</v>
      </c>
      <c r="D5">
        <v>2686976</v>
      </c>
      <c r="E5" t="s">
        <v>87</v>
      </c>
      <c r="F5" t="s">
        <v>24</v>
      </c>
      <c r="G5" t="s">
        <v>25</v>
      </c>
      <c r="H5">
        <v>100</v>
      </c>
      <c r="I5">
        <v>400</v>
      </c>
      <c r="J5">
        <v>6</v>
      </c>
      <c r="K5">
        <v>258</v>
      </c>
      <c r="L5">
        <v>318</v>
      </c>
      <c r="M5">
        <v>81</v>
      </c>
      <c r="N5" t="s">
        <v>15</v>
      </c>
      <c r="O5">
        <v>0</v>
      </c>
      <c r="P5" t="s">
        <v>17</v>
      </c>
      <c r="Q5" s="6">
        <f>Query1[[#This Row],[program_name.test_cases.input.number_of_variables]]/Query1[[#This Row],[program_name.test_cases.input.number_of_functors]]</f>
        <v>0.25471698113207547</v>
      </c>
    </row>
    <row r="6" spans="1:17" hidden="1" x14ac:dyDescent="0.25">
      <c r="A6" t="s">
        <v>13</v>
      </c>
      <c r="B6" t="s">
        <v>14</v>
      </c>
      <c r="C6">
        <v>300.00477574102115</v>
      </c>
      <c r="D6">
        <v>9052160</v>
      </c>
      <c r="E6" t="s">
        <v>31</v>
      </c>
      <c r="F6" t="s">
        <v>24</v>
      </c>
      <c r="G6" t="s">
        <v>25</v>
      </c>
      <c r="H6">
        <v>2500</v>
      </c>
      <c r="I6">
        <v>10000</v>
      </c>
      <c r="J6">
        <v>6</v>
      </c>
      <c r="K6">
        <v>6270</v>
      </c>
      <c r="L6">
        <v>4946</v>
      </c>
      <c r="M6">
        <v>5046</v>
      </c>
      <c r="N6" t="s">
        <v>15</v>
      </c>
      <c r="P6" t="s">
        <v>16</v>
      </c>
    </row>
    <row r="7" spans="1:17" x14ac:dyDescent="0.25">
      <c r="A7" t="s">
        <v>13</v>
      </c>
      <c r="B7" t="s">
        <v>26</v>
      </c>
      <c r="C7">
        <v>2.1610727009829137E-2</v>
      </c>
      <c r="D7">
        <v>2789376</v>
      </c>
      <c r="E7" t="s">
        <v>99</v>
      </c>
      <c r="F7" t="s">
        <v>24</v>
      </c>
      <c r="G7" t="s">
        <v>25</v>
      </c>
      <c r="H7">
        <v>100</v>
      </c>
      <c r="I7">
        <v>300</v>
      </c>
      <c r="J7">
        <v>4</v>
      </c>
      <c r="K7">
        <v>195</v>
      </c>
      <c r="L7">
        <v>213</v>
      </c>
      <c r="M7">
        <v>85</v>
      </c>
      <c r="N7" t="s">
        <v>15</v>
      </c>
      <c r="O7">
        <v>2</v>
      </c>
      <c r="P7" t="s">
        <v>18</v>
      </c>
      <c r="Q7" s="6">
        <f>Query1[[#This Row],[program_name.test_cases.input.number_of_variables]]/Query1[[#This Row],[program_name.test_cases.input.number_of_functors]]</f>
        <v>0.39906103286384975</v>
      </c>
    </row>
    <row r="8" spans="1:17" hidden="1" x14ac:dyDescent="0.25">
      <c r="A8" t="s">
        <v>13</v>
      </c>
      <c r="B8" t="s">
        <v>14</v>
      </c>
      <c r="C8">
        <v>299.99913609796204</v>
      </c>
      <c r="D8">
        <v>18509824</v>
      </c>
      <c r="E8" t="s">
        <v>33</v>
      </c>
      <c r="F8" t="s">
        <v>24</v>
      </c>
      <c r="G8" t="s">
        <v>25</v>
      </c>
      <c r="H8">
        <v>5000</v>
      </c>
      <c r="I8">
        <v>25000</v>
      </c>
      <c r="J8">
        <v>8</v>
      </c>
      <c r="K8">
        <v>15658</v>
      </c>
      <c r="L8">
        <v>12546</v>
      </c>
      <c r="M8">
        <v>12433</v>
      </c>
      <c r="N8" t="s">
        <v>15</v>
      </c>
      <c r="P8" t="s">
        <v>16</v>
      </c>
    </row>
    <row r="9" spans="1:17" hidden="1" x14ac:dyDescent="0.25">
      <c r="A9" t="s">
        <v>13</v>
      </c>
      <c r="B9" t="s">
        <v>14</v>
      </c>
      <c r="C9">
        <v>300.00610450597014</v>
      </c>
      <c r="D9">
        <v>12955648</v>
      </c>
      <c r="E9" t="s">
        <v>34</v>
      </c>
      <c r="F9" t="s">
        <v>24</v>
      </c>
      <c r="G9" t="s">
        <v>25</v>
      </c>
      <c r="H9">
        <v>5000</v>
      </c>
      <c r="I9">
        <v>15000</v>
      </c>
      <c r="J9">
        <v>4</v>
      </c>
      <c r="K9">
        <v>9366</v>
      </c>
      <c r="L9">
        <v>7495</v>
      </c>
      <c r="M9">
        <v>7501</v>
      </c>
      <c r="N9" t="s">
        <v>15</v>
      </c>
      <c r="P9" t="s">
        <v>16</v>
      </c>
    </row>
    <row r="10" spans="1:17" hidden="1" x14ac:dyDescent="0.25">
      <c r="A10" s="1" t="s">
        <v>13</v>
      </c>
      <c r="B10" s="1" t="s">
        <v>14</v>
      </c>
      <c r="C10" s="5">
        <v>300.00164429203141</v>
      </c>
      <c r="D10" s="3">
        <v>3694592</v>
      </c>
      <c r="E10" s="1" t="s">
        <v>35</v>
      </c>
      <c r="F10" s="1" t="s">
        <v>24</v>
      </c>
      <c r="G10" s="1" t="s">
        <v>25</v>
      </c>
      <c r="H10" s="1">
        <v>200</v>
      </c>
      <c r="I10" s="2">
        <v>2000</v>
      </c>
      <c r="J10" s="2">
        <v>16</v>
      </c>
      <c r="K10" s="2">
        <v>1253</v>
      </c>
      <c r="L10" s="2">
        <v>995</v>
      </c>
      <c r="M10" s="2">
        <v>973</v>
      </c>
      <c r="N10" s="2" t="s">
        <v>15</v>
      </c>
      <c r="O10" s="1"/>
      <c r="P10" s="1" t="s">
        <v>16</v>
      </c>
      <c r="Q10" s="2">
        <f>Query1[[#This Row],[program_name.test_cases.input.number_of_variables]]/H10</f>
        <v>4.8650000000000002</v>
      </c>
    </row>
    <row r="11" spans="1:17" hidden="1" x14ac:dyDescent="0.25">
      <c r="A11" t="s">
        <v>13</v>
      </c>
      <c r="B11" t="s">
        <v>14</v>
      </c>
      <c r="C11">
        <v>2.1462353994138539E-2</v>
      </c>
      <c r="D11">
        <v>2686976</v>
      </c>
      <c r="E11" t="s">
        <v>44</v>
      </c>
      <c r="F11" t="s">
        <v>24</v>
      </c>
      <c r="G11" t="s">
        <v>25</v>
      </c>
      <c r="H11">
        <v>100</v>
      </c>
      <c r="I11">
        <v>300</v>
      </c>
      <c r="J11">
        <v>4</v>
      </c>
      <c r="K11">
        <v>188</v>
      </c>
      <c r="L11">
        <v>147</v>
      </c>
      <c r="M11">
        <v>149</v>
      </c>
      <c r="N11" t="s">
        <v>15</v>
      </c>
      <c r="O11">
        <v>2</v>
      </c>
      <c r="P11" t="s">
        <v>18</v>
      </c>
      <c r="Q11" s="3">
        <f>Query1[[#This Row],[program_name.test_cases.input.number_of_variables]]/H11</f>
        <v>1.49</v>
      </c>
    </row>
    <row r="12" spans="1:17" x14ac:dyDescent="0.25">
      <c r="A12" t="s">
        <v>13</v>
      </c>
      <c r="B12" t="s">
        <v>26</v>
      </c>
      <c r="C12">
        <v>1.122303999727592E-2</v>
      </c>
      <c r="D12">
        <v>2592768</v>
      </c>
      <c r="E12" t="s">
        <v>82</v>
      </c>
      <c r="F12" t="s">
        <v>24</v>
      </c>
      <c r="G12" t="s">
        <v>25</v>
      </c>
      <c r="H12">
        <v>100</v>
      </c>
      <c r="I12">
        <v>200</v>
      </c>
      <c r="J12">
        <v>3</v>
      </c>
      <c r="K12">
        <v>127</v>
      </c>
      <c r="L12">
        <v>133</v>
      </c>
      <c r="M12">
        <v>65</v>
      </c>
      <c r="N12" t="s">
        <v>15</v>
      </c>
      <c r="O12">
        <v>2</v>
      </c>
      <c r="P12" t="s">
        <v>18</v>
      </c>
      <c r="Q12" s="6">
        <f>Query1[[#This Row],[program_name.test_cases.input.number_of_variables]]/Query1[[#This Row],[program_name.test_cases.input.number_of_functors]]</f>
        <v>0.48872180451127817</v>
      </c>
    </row>
    <row r="13" spans="1:17" hidden="1" x14ac:dyDescent="0.25">
      <c r="A13" s="1" t="s">
        <v>13</v>
      </c>
      <c r="B13" s="1" t="s">
        <v>14</v>
      </c>
      <c r="C13" s="5">
        <v>5.3029003960546106E-2</v>
      </c>
      <c r="D13" s="3">
        <v>2727936</v>
      </c>
      <c r="E13" s="1" t="s">
        <v>36</v>
      </c>
      <c r="F13" s="1" t="s">
        <v>24</v>
      </c>
      <c r="G13" s="1" t="s">
        <v>25</v>
      </c>
      <c r="H13" s="1">
        <v>200</v>
      </c>
      <c r="I13" s="2">
        <v>400</v>
      </c>
      <c r="J13" s="2">
        <v>3</v>
      </c>
      <c r="K13" s="2">
        <v>263</v>
      </c>
      <c r="L13" s="2">
        <v>211</v>
      </c>
      <c r="M13" s="2">
        <v>187</v>
      </c>
      <c r="N13" s="2" t="s">
        <v>15</v>
      </c>
      <c r="O13" s="1">
        <v>0</v>
      </c>
      <c r="P13" s="1" t="s">
        <v>17</v>
      </c>
      <c r="Q13" s="3">
        <f>Query1[[#This Row],[program_name.test_cases.input.number_of_variables]]/H13</f>
        <v>0.93500000000000005</v>
      </c>
    </row>
    <row r="14" spans="1:17" x14ac:dyDescent="0.25">
      <c r="A14" t="s">
        <v>13</v>
      </c>
      <c r="B14" t="s">
        <v>26</v>
      </c>
      <c r="C14">
        <v>1.1329739994835109E-2</v>
      </c>
      <c r="D14">
        <v>2543616</v>
      </c>
      <c r="E14" t="s">
        <v>98</v>
      </c>
      <c r="F14" t="s">
        <v>24</v>
      </c>
      <c r="G14" t="s">
        <v>25</v>
      </c>
      <c r="H14">
        <v>100</v>
      </c>
      <c r="I14">
        <v>200</v>
      </c>
      <c r="J14">
        <v>3</v>
      </c>
      <c r="K14">
        <v>122</v>
      </c>
      <c r="L14">
        <v>66</v>
      </c>
      <c r="M14">
        <v>133</v>
      </c>
      <c r="N14" t="s">
        <v>15</v>
      </c>
      <c r="O14">
        <v>0</v>
      </c>
      <c r="P14" t="s">
        <v>17</v>
      </c>
      <c r="Q14" s="6">
        <f>Query1[[#This Row],[program_name.test_cases.input.number_of_variables]]/Query1[[#This Row],[program_name.test_cases.input.number_of_functors]]</f>
        <v>2.0151515151515151</v>
      </c>
    </row>
    <row r="15" spans="1:17" hidden="1" x14ac:dyDescent="0.25">
      <c r="A15" t="s">
        <v>13</v>
      </c>
      <c r="B15" t="s">
        <v>14</v>
      </c>
      <c r="C15">
        <v>300.00852283998393</v>
      </c>
      <c r="D15">
        <v>15585280</v>
      </c>
      <c r="E15" t="s">
        <v>40</v>
      </c>
      <c r="F15" t="s">
        <v>24</v>
      </c>
      <c r="G15" t="s">
        <v>25</v>
      </c>
      <c r="H15">
        <v>5000</v>
      </c>
      <c r="I15">
        <v>20000</v>
      </c>
      <c r="J15">
        <v>6</v>
      </c>
      <c r="K15">
        <v>12526</v>
      </c>
      <c r="L15">
        <v>10009</v>
      </c>
      <c r="M15">
        <v>9979</v>
      </c>
      <c r="N15" t="s">
        <v>15</v>
      </c>
      <c r="P15" t="s">
        <v>16</v>
      </c>
    </row>
    <row r="16" spans="1:17" x14ac:dyDescent="0.25">
      <c r="A16" s="1" t="s">
        <v>13</v>
      </c>
      <c r="B16" s="1" t="s">
        <v>26</v>
      </c>
      <c r="C16" s="5">
        <v>2.1580666012596339E-2</v>
      </c>
      <c r="D16" s="3">
        <v>2793472</v>
      </c>
      <c r="E16" s="1" t="s">
        <v>77</v>
      </c>
      <c r="F16" s="1" t="s">
        <v>24</v>
      </c>
      <c r="G16" s="1" t="s">
        <v>25</v>
      </c>
      <c r="H16" s="1">
        <v>100</v>
      </c>
      <c r="I16" s="2">
        <v>300</v>
      </c>
      <c r="J16" s="2">
        <v>4</v>
      </c>
      <c r="K16" s="2">
        <v>190</v>
      </c>
      <c r="L16" s="2">
        <v>78</v>
      </c>
      <c r="M16" s="2">
        <v>221</v>
      </c>
      <c r="N16" s="2" t="s">
        <v>15</v>
      </c>
      <c r="O16" s="1">
        <v>2</v>
      </c>
      <c r="P16" s="1" t="s">
        <v>18</v>
      </c>
      <c r="Q16" s="6">
        <f>Query1[[#This Row],[program_name.test_cases.input.number_of_variables]]/Query1[[#This Row],[program_name.test_cases.input.number_of_functors]]</f>
        <v>2.8333333333333335</v>
      </c>
    </row>
    <row r="17" spans="1:17" hidden="1" x14ac:dyDescent="0.25">
      <c r="A17" t="s">
        <v>13</v>
      </c>
      <c r="B17" t="s">
        <v>14</v>
      </c>
      <c r="C17">
        <v>300.00793372496264</v>
      </c>
      <c r="D17">
        <v>10674176</v>
      </c>
      <c r="E17" t="s">
        <v>42</v>
      </c>
      <c r="F17" t="s">
        <v>24</v>
      </c>
      <c r="G17" t="s">
        <v>25</v>
      </c>
      <c r="H17">
        <v>2500</v>
      </c>
      <c r="I17">
        <v>12500</v>
      </c>
      <c r="J17">
        <v>8</v>
      </c>
      <c r="K17">
        <v>7810</v>
      </c>
      <c r="L17">
        <v>6136</v>
      </c>
      <c r="M17">
        <v>6338</v>
      </c>
      <c r="N17" t="s">
        <v>15</v>
      </c>
      <c r="P17" t="s">
        <v>16</v>
      </c>
    </row>
    <row r="18" spans="1:17" x14ac:dyDescent="0.25">
      <c r="A18" s="1" t="s">
        <v>13</v>
      </c>
      <c r="B18" s="1" t="s">
        <v>26</v>
      </c>
      <c r="C18" s="5">
        <v>3.2196104992181063E-2</v>
      </c>
      <c r="D18" s="3">
        <v>2691072</v>
      </c>
      <c r="E18" s="1" t="s">
        <v>66</v>
      </c>
      <c r="F18" s="1" t="s">
        <v>24</v>
      </c>
      <c r="G18" s="1" t="s">
        <v>25</v>
      </c>
      <c r="H18" s="1">
        <v>100</v>
      </c>
      <c r="I18" s="2">
        <v>400</v>
      </c>
      <c r="J18" s="2">
        <v>6</v>
      </c>
      <c r="K18" s="2">
        <v>248</v>
      </c>
      <c r="L18" s="2">
        <v>77</v>
      </c>
      <c r="M18" s="2">
        <v>319</v>
      </c>
      <c r="N18" s="2" t="s">
        <v>15</v>
      </c>
      <c r="O18" s="1">
        <v>2</v>
      </c>
      <c r="P18" s="1" t="s">
        <v>18</v>
      </c>
      <c r="Q18" s="6">
        <f>Query1[[#This Row],[program_name.test_cases.input.number_of_variables]]/Query1[[#This Row],[program_name.test_cases.input.number_of_functors]]</f>
        <v>4.1428571428571432</v>
      </c>
    </row>
    <row r="19" spans="1:17" x14ac:dyDescent="0.25">
      <c r="A19" t="s">
        <v>13</v>
      </c>
      <c r="B19" t="s">
        <v>26</v>
      </c>
      <c r="C19">
        <v>5.2557750954292715E-2</v>
      </c>
      <c r="D19">
        <v>3047424</v>
      </c>
      <c r="E19" t="s">
        <v>97</v>
      </c>
      <c r="F19" t="s">
        <v>24</v>
      </c>
      <c r="G19" t="s">
        <v>25</v>
      </c>
      <c r="H19">
        <v>100</v>
      </c>
      <c r="I19">
        <v>500</v>
      </c>
      <c r="J19">
        <v>8</v>
      </c>
      <c r="K19">
        <v>320</v>
      </c>
      <c r="L19">
        <v>73</v>
      </c>
      <c r="M19">
        <v>414</v>
      </c>
      <c r="N19" t="s">
        <v>15</v>
      </c>
      <c r="O19">
        <v>2</v>
      </c>
      <c r="P19" t="s">
        <v>18</v>
      </c>
      <c r="Q19" s="6">
        <f>Query1[[#This Row],[program_name.test_cases.input.number_of_variables]]/Query1[[#This Row],[program_name.test_cases.input.number_of_functors]]</f>
        <v>5.6712328767123283</v>
      </c>
    </row>
    <row r="20" spans="1:17" hidden="1" x14ac:dyDescent="0.25">
      <c r="A20" s="1" t="s">
        <v>13</v>
      </c>
      <c r="B20" s="1" t="s">
        <v>14</v>
      </c>
      <c r="C20" s="5">
        <v>300.00058345199795</v>
      </c>
      <c r="D20" s="3">
        <v>32231424</v>
      </c>
      <c r="E20" s="1" t="s">
        <v>45</v>
      </c>
      <c r="F20" s="1" t="s">
        <v>24</v>
      </c>
      <c r="G20" s="1" t="s">
        <v>25</v>
      </c>
      <c r="H20" s="1">
        <v>5000</v>
      </c>
      <c r="I20" s="2">
        <v>50000</v>
      </c>
      <c r="J20" s="2">
        <v>16</v>
      </c>
      <c r="K20" s="2">
        <v>31159</v>
      </c>
      <c r="L20" s="2">
        <v>25011</v>
      </c>
      <c r="M20" s="2">
        <v>24952</v>
      </c>
      <c r="N20" s="2" t="s">
        <v>15</v>
      </c>
      <c r="O20" s="1"/>
      <c r="P20" s="1" t="s">
        <v>16</v>
      </c>
      <c r="Q20" s="2">
        <f>Query1[[#This Row],[program_name.test_cases.input.number_of_variables]]/H20</f>
        <v>4.9904000000000002</v>
      </c>
    </row>
    <row r="21" spans="1:17" hidden="1" x14ac:dyDescent="0.25">
      <c r="A21" t="s">
        <v>13</v>
      </c>
      <c r="B21" t="s">
        <v>14</v>
      </c>
      <c r="C21">
        <v>300.00478086801013</v>
      </c>
      <c r="D21">
        <v>17735680</v>
      </c>
      <c r="E21" t="s">
        <v>46</v>
      </c>
      <c r="F21" t="s">
        <v>24</v>
      </c>
      <c r="G21" t="s">
        <v>25</v>
      </c>
      <c r="H21">
        <v>2500</v>
      </c>
      <c r="I21">
        <v>25000</v>
      </c>
      <c r="J21">
        <v>16</v>
      </c>
      <c r="K21">
        <v>15621</v>
      </c>
      <c r="L21">
        <v>12475</v>
      </c>
      <c r="M21">
        <v>12498</v>
      </c>
      <c r="N21" t="s">
        <v>15</v>
      </c>
      <c r="P21" t="s">
        <v>16</v>
      </c>
    </row>
    <row r="22" spans="1:17" hidden="1" x14ac:dyDescent="0.25">
      <c r="A22" t="s">
        <v>13</v>
      </c>
      <c r="B22" t="s">
        <v>14</v>
      </c>
      <c r="C22">
        <v>3.2018577971030027E-2</v>
      </c>
      <c r="D22">
        <v>2686976</v>
      </c>
      <c r="E22" t="s">
        <v>37</v>
      </c>
      <c r="F22" t="s">
        <v>24</v>
      </c>
      <c r="G22" t="s">
        <v>25</v>
      </c>
      <c r="H22">
        <v>100</v>
      </c>
      <c r="I22">
        <v>400</v>
      </c>
      <c r="J22">
        <v>6</v>
      </c>
      <c r="K22">
        <v>247</v>
      </c>
      <c r="L22">
        <v>191</v>
      </c>
      <c r="M22">
        <v>200</v>
      </c>
      <c r="N22" t="s">
        <v>15</v>
      </c>
      <c r="O22">
        <v>2</v>
      </c>
      <c r="P22" t="s">
        <v>18</v>
      </c>
      <c r="Q22" s="3">
        <f>Query1[[#This Row],[program_name.test_cases.input.number_of_variables]]/H22</f>
        <v>2</v>
      </c>
    </row>
    <row r="23" spans="1:17" x14ac:dyDescent="0.25">
      <c r="A23" t="s">
        <v>13</v>
      </c>
      <c r="B23" t="s">
        <v>26</v>
      </c>
      <c r="C23">
        <v>300.00012847402832</v>
      </c>
      <c r="D23">
        <v>3534848</v>
      </c>
      <c r="E23" t="s">
        <v>83</v>
      </c>
      <c r="F23" t="s">
        <v>24</v>
      </c>
      <c r="G23" t="s">
        <v>25</v>
      </c>
      <c r="H23">
        <v>100</v>
      </c>
      <c r="I23">
        <v>1000</v>
      </c>
      <c r="J23">
        <v>16</v>
      </c>
      <c r="K23">
        <v>617</v>
      </c>
      <c r="L23">
        <v>82</v>
      </c>
      <c r="M23">
        <v>897</v>
      </c>
      <c r="N23" t="s">
        <v>15</v>
      </c>
      <c r="P23" t="s">
        <v>16</v>
      </c>
      <c r="Q23" s="6">
        <f>Query1[[#This Row],[program_name.test_cases.input.number_of_variables]]/Query1[[#This Row],[program_name.test_cases.input.number_of_functors]]</f>
        <v>10.939024390243903</v>
      </c>
    </row>
    <row r="24" spans="1:17" hidden="1" x14ac:dyDescent="0.25">
      <c r="A24" t="s">
        <v>13</v>
      </c>
      <c r="B24" t="s">
        <v>14</v>
      </c>
      <c r="C24">
        <v>5.2614741027355194E-2</v>
      </c>
      <c r="D24">
        <v>2985984</v>
      </c>
      <c r="E24" t="s">
        <v>50</v>
      </c>
      <c r="F24" t="s">
        <v>24</v>
      </c>
      <c r="G24" t="s">
        <v>25</v>
      </c>
      <c r="H24">
        <v>100</v>
      </c>
      <c r="I24">
        <v>500</v>
      </c>
      <c r="J24">
        <v>8</v>
      </c>
      <c r="K24">
        <v>316</v>
      </c>
      <c r="L24">
        <v>243</v>
      </c>
      <c r="M24">
        <v>249</v>
      </c>
      <c r="N24" t="s">
        <v>15</v>
      </c>
      <c r="O24">
        <v>2</v>
      </c>
      <c r="P24" t="s">
        <v>18</v>
      </c>
      <c r="Q24" s="3">
        <f>Query1[[#This Row],[program_name.test_cases.input.number_of_variables]]/H24</f>
        <v>2.4900000000000002</v>
      </c>
    </row>
    <row r="25" spans="1:17" x14ac:dyDescent="0.25">
      <c r="A25" t="s">
        <v>13</v>
      </c>
      <c r="B25" t="s">
        <v>26</v>
      </c>
      <c r="C25">
        <v>1.1648866449831985</v>
      </c>
      <c r="D25">
        <v>3743744</v>
      </c>
      <c r="E25" t="s">
        <v>85</v>
      </c>
      <c r="F25" t="s">
        <v>24</v>
      </c>
      <c r="G25" t="s">
        <v>25</v>
      </c>
      <c r="H25">
        <v>200</v>
      </c>
      <c r="I25">
        <v>2000</v>
      </c>
      <c r="J25">
        <v>16</v>
      </c>
      <c r="K25">
        <v>1258</v>
      </c>
      <c r="L25">
        <v>1829</v>
      </c>
      <c r="M25">
        <v>153</v>
      </c>
      <c r="N25" t="s">
        <v>15</v>
      </c>
      <c r="O25">
        <v>2</v>
      </c>
      <c r="P25" t="s">
        <v>18</v>
      </c>
      <c r="Q25" s="6">
        <f>Query1[[#This Row],[program_name.test_cases.input.number_of_variables]]/Query1[[#This Row],[program_name.test_cases.input.number_of_functors]]</f>
        <v>8.3652268999453258E-2</v>
      </c>
    </row>
    <row r="26" spans="1:17" x14ac:dyDescent="0.25">
      <c r="A26" t="s">
        <v>13</v>
      </c>
      <c r="B26" t="s">
        <v>26</v>
      </c>
      <c r="C26">
        <v>0.25861592497676611</v>
      </c>
      <c r="D26">
        <v>3256320</v>
      </c>
      <c r="E26" t="s">
        <v>92</v>
      </c>
      <c r="F26" t="s">
        <v>24</v>
      </c>
      <c r="G26" t="s">
        <v>25</v>
      </c>
      <c r="H26">
        <v>200</v>
      </c>
      <c r="I26">
        <v>1000</v>
      </c>
      <c r="J26">
        <v>8</v>
      </c>
      <c r="K26">
        <v>620</v>
      </c>
      <c r="L26">
        <v>825</v>
      </c>
      <c r="M26">
        <v>163</v>
      </c>
      <c r="N26" t="s">
        <v>15</v>
      </c>
      <c r="O26">
        <v>0</v>
      </c>
      <c r="P26" t="s">
        <v>17</v>
      </c>
      <c r="Q26" s="6">
        <f>Query1[[#This Row],[program_name.test_cases.input.number_of_variables]]/Query1[[#This Row],[program_name.test_cases.input.number_of_functors]]</f>
        <v>0.19757575757575757</v>
      </c>
    </row>
    <row r="27" spans="1:17" hidden="1" x14ac:dyDescent="0.25">
      <c r="A27" t="s">
        <v>13</v>
      </c>
      <c r="B27" t="s">
        <v>14</v>
      </c>
      <c r="C27">
        <v>0.11420452501624824</v>
      </c>
      <c r="D27">
        <v>2994176</v>
      </c>
      <c r="E27" t="s">
        <v>49</v>
      </c>
      <c r="F27" t="s">
        <v>24</v>
      </c>
      <c r="G27" t="s">
        <v>25</v>
      </c>
      <c r="H27">
        <v>200</v>
      </c>
      <c r="I27">
        <v>600</v>
      </c>
      <c r="J27">
        <v>4</v>
      </c>
      <c r="K27">
        <v>376</v>
      </c>
      <c r="L27">
        <v>312</v>
      </c>
      <c r="M27">
        <v>286</v>
      </c>
      <c r="N27" t="s">
        <v>15</v>
      </c>
      <c r="O27">
        <v>2</v>
      </c>
      <c r="P27" t="s">
        <v>18</v>
      </c>
      <c r="Q27" s="3">
        <f>Query1[[#This Row],[program_name.test_cases.input.number_of_variables]]/H27</f>
        <v>1.43</v>
      </c>
    </row>
    <row r="28" spans="1:17" x14ac:dyDescent="0.25">
      <c r="A28" s="1" t="s">
        <v>13</v>
      </c>
      <c r="B28" s="1" t="s">
        <v>26</v>
      </c>
      <c r="C28" s="5">
        <v>0.15581524302251637</v>
      </c>
      <c r="D28" s="3">
        <v>2990080</v>
      </c>
      <c r="E28" s="1" t="s">
        <v>81</v>
      </c>
      <c r="F28" s="1" t="s">
        <v>24</v>
      </c>
      <c r="G28" s="1" t="s">
        <v>25</v>
      </c>
      <c r="H28" s="1">
        <v>200</v>
      </c>
      <c r="I28" s="2">
        <v>800</v>
      </c>
      <c r="J28" s="2">
        <v>6</v>
      </c>
      <c r="K28" s="2">
        <v>492</v>
      </c>
      <c r="L28" s="2">
        <v>634</v>
      </c>
      <c r="M28" s="2">
        <v>154</v>
      </c>
      <c r="N28" s="2" t="s">
        <v>15</v>
      </c>
      <c r="O28" s="1">
        <v>2</v>
      </c>
      <c r="P28" s="1" t="s">
        <v>18</v>
      </c>
      <c r="Q28" s="6">
        <f>Query1[[#This Row],[program_name.test_cases.input.number_of_variables]]/Query1[[#This Row],[program_name.test_cases.input.number_of_functors]]</f>
        <v>0.24290220820189273</v>
      </c>
    </row>
    <row r="29" spans="1:17" x14ac:dyDescent="0.25">
      <c r="A29" t="s">
        <v>13</v>
      </c>
      <c r="B29" t="s">
        <v>26</v>
      </c>
      <c r="C29">
        <v>9.3785955978091806E-2</v>
      </c>
      <c r="D29">
        <v>2920448</v>
      </c>
      <c r="E29" t="s">
        <v>69</v>
      </c>
      <c r="F29" t="s">
        <v>24</v>
      </c>
      <c r="G29" t="s">
        <v>25</v>
      </c>
      <c r="H29">
        <v>200</v>
      </c>
      <c r="I29">
        <v>600</v>
      </c>
      <c r="J29">
        <v>4</v>
      </c>
      <c r="K29">
        <v>372</v>
      </c>
      <c r="L29">
        <v>450</v>
      </c>
      <c r="M29">
        <v>146</v>
      </c>
      <c r="N29" t="s">
        <v>15</v>
      </c>
      <c r="O29">
        <v>2</v>
      </c>
      <c r="P29" t="s">
        <v>18</v>
      </c>
      <c r="Q29" s="6">
        <f>Query1[[#This Row],[program_name.test_cases.input.number_of_variables]]/Query1[[#This Row],[program_name.test_cases.input.number_of_functors]]</f>
        <v>0.32444444444444442</v>
      </c>
    </row>
    <row r="30" spans="1:17" hidden="1" x14ac:dyDescent="0.25">
      <c r="A30" s="1" t="s">
        <v>13</v>
      </c>
      <c r="B30" s="1" t="s">
        <v>14</v>
      </c>
      <c r="C30" s="5">
        <v>0.15577981801470742</v>
      </c>
      <c r="D30" s="3">
        <v>2998272</v>
      </c>
      <c r="E30" s="1" t="s">
        <v>47</v>
      </c>
      <c r="F30" s="1" t="s">
        <v>24</v>
      </c>
      <c r="G30" s="1" t="s">
        <v>25</v>
      </c>
      <c r="H30" s="1">
        <v>200</v>
      </c>
      <c r="I30" s="2">
        <v>800</v>
      </c>
      <c r="J30" s="2">
        <v>6</v>
      </c>
      <c r="K30" s="2">
        <v>518</v>
      </c>
      <c r="L30" s="2">
        <v>396</v>
      </c>
      <c r="M30" s="2">
        <v>399</v>
      </c>
      <c r="N30" s="2" t="s">
        <v>15</v>
      </c>
      <c r="O30" s="1">
        <v>2</v>
      </c>
      <c r="P30" s="1" t="s">
        <v>18</v>
      </c>
      <c r="Q30" s="3">
        <f>Query1[[#This Row],[program_name.test_cases.input.number_of_variables]]/H30</f>
        <v>1.9950000000000001</v>
      </c>
    </row>
    <row r="31" spans="1:17" hidden="1" x14ac:dyDescent="0.25">
      <c r="A31" t="s">
        <v>13</v>
      </c>
      <c r="B31" t="s">
        <v>14</v>
      </c>
      <c r="C31">
        <v>300.00657424802193</v>
      </c>
      <c r="D31">
        <v>9961472</v>
      </c>
      <c r="E31" t="s">
        <v>56</v>
      </c>
      <c r="F31" t="s">
        <v>24</v>
      </c>
      <c r="G31" t="s">
        <v>25</v>
      </c>
      <c r="H31">
        <v>5000</v>
      </c>
      <c r="I31">
        <v>10000</v>
      </c>
      <c r="J31">
        <v>3</v>
      </c>
      <c r="K31">
        <v>6225</v>
      </c>
      <c r="L31">
        <v>4934</v>
      </c>
      <c r="M31">
        <v>5064</v>
      </c>
      <c r="N31" t="s">
        <v>15</v>
      </c>
      <c r="P31" t="s">
        <v>16</v>
      </c>
    </row>
    <row r="32" spans="1:17" hidden="1" x14ac:dyDescent="0.25">
      <c r="A32" t="s">
        <v>13</v>
      </c>
      <c r="B32" t="s">
        <v>14</v>
      </c>
      <c r="C32">
        <v>0.70182396995369345</v>
      </c>
      <c r="D32">
        <v>3272704</v>
      </c>
      <c r="E32" t="s">
        <v>53</v>
      </c>
      <c r="F32" t="s">
        <v>24</v>
      </c>
      <c r="G32" t="s">
        <v>25</v>
      </c>
      <c r="H32">
        <v>500</v>
      </c>
      <c r="I32">
        <v>1000</v>
      </c>
      <c r="J32">
        <v>3</v>
      </c>
      <c r="K32">
        <v>621</v>
      </c>
      <c r="L32">
        <v>524</v>
      </c>
      <c r="M32">
        <v>475</v>
      </c>
      <c r="N32" t="s">
        <v>15</v>
      </c>
      <c r="O32">
        <v>0</v>
      </c>
      <c r="P32" t="s">
        <v>17</v>
      </c>
      <c r="Q32" s="3">
        <f>Query1[[#This Row],[program_name.test_cases.input.number_of_variables]]/H32</f>
        <v>0.95</v>
      </c>
    </row>
    <row r="33" spans="1:17" x14ac:dyDescent="0.25">
      <c r="A33" s="1" t="s">
        <v>13</v>
      </c>
      <c r="B33" s="1" t="s">
        <v>26</v>
      </c>
      <c r="C33" s="5">
        <v>4.2578385036904365E-2</v>
      </c>
      <c r="D33" s="3">
        <v>2813952</v>
      </c>
      <c r="E33" s="1" t="s">
        <v>74</v>
      </c>
      <c r="F33" s="1" t="s">
        <v>24</v>
      </c>
      <c r="G33" s="1" t="s">
        <v>25</v>
      </c>
      <c r="H33" s="1">
        <v>200</v>
      </c>
      <c r="I33" s="2">
        <v>400</v>
      </c>
      <c r="J33" s="2">
        <v>3</v>
      </c>
      <c r="K33" s="2">
        <v>244</v>
      </c>
      <c r="L33" s="2">
        <v>270</v>
      </c>
      <c r="M33" s="2">
        <v>130</v>
      </c>
      <c r="N33" s="2" t="s">
        <v>15</v>
      </c>
      <c r="O33" s="1">
        <v>0</v>
      </c>
      <c r="P33" s="1" t="s">
        <v>17</v>
      </c>
      <c r="Q33" s="6">
        <f>Query1[[#This Row],[program_name.test_cases.input.number_of_variables]]/Query1[[#This Row],[program_name.test_cases.input.number_of_functors]]</f>
        <v>0.48148148148148145</v>
      </c>
    </row>
    <row r="34" spans="1:17" x14ac:dyDescent="0.25">
      <c r="A34" t="s">
        <v>13</v>
      </c>
      <c r="B34" t="s">
        <v>26</v>
      </c>
      <c r="C34">
        <v>5.273381998995319E-2</v>
      </c>
      <c r="D34">
        <v>2756608</v>
      </c>
      <c r="E34" t="s">
        <v>110</v>
      </c>
      <c r="F34" t="s">
        <v>24</v>
      </c>
      <c r="G34" t="s">
        <v>25</v>
      </c>
      <c r="H34">
        <v>200</v>
      </c>
      <c r="I34">
        <v>400</v>
      </c>
      <c r="J34">
        <v>3</v>
      </c>
      <c r="K34">
        <v>244</v>
      </c>
      <c r="L34">
        <v>134</v>
      </c>
      <c r="M34">
        <v>265</v>
      </c>
      <c r="N34" t="s">
        <v>15</v>
      </c>
      <c r="O34">
        <v>0</v>
      </c>
      <c r="P34" t="s">
        <v>17</v>
      </c>
      <c r="Q34" s="6">
        <f>Query1[[#This Row],[program_name.test_cases.input.number_of_variables]]/Query1[[#This Row],[program_name.test_cases.input.number_of_functors]]</f>
        <v>1.9776119402985075</v>
      </c>
    </row>
    <row r="35" spans="1:17" x14ac:dyDescent="0.25">
      <c r="A35" t="s">
        <v>13</v>
      </c>
      <c r="B35" t="s">
        <v>26</v>
      </c>
      <c r="C35">
        <v>0.10409068403532729</v>
      </c>
      <c r="D35">
        <v>2949120</v>
      </c>
      <c r="E35" t="s">
        <v>107</v>
      </c>
      <c r="F35" t="s">
        <v>24</v>
      </c>
      <c r="G35" t="s">
        <v>25</v>
      </c>
      <c r="H35">
        <v>200</v>
      </c>
      <c r="I35">
        <v>600</v>
      </c>
      <c r="J35">
        <v>4</v>
      </c>
      <c r="K35">
        <v>377</v>
      </c>
      <c r="L35">
        <v>162</v>
      </c>
      <c r="M35">
        <v>434</v>
      </c>
      <c r="N35" t="s">
        <v>15</v>
      </c>
      <c r="O35">
        <v>2</v>
      </c>
      <c r="P35" t="s">
        <v>18</v>
      </c>
      <c r="Q35" s="6">
        <f>Query1[[#This Row],[program_name.test_cases.input.number_of_variables]]/Query1[[#This Row],[program_name.test_cases.input.number_of_functors]]</f>
        <v>2.6790123456790123</v>
      </c>
    </row>
    <row r="36" spans="1:17" x14ac:dyDescent="0.25">
      <c r="A36" t="s">
        <v>13</v>
      </c>
      <c r="B36" t="s">
        <v>26</v>
      </c>
      <c r="C36">
        <v>0.11450783198233694</v>
      </c>
      <c r="D36">
        <v>2990080</v>
      </c>
      <c r="E36" t="s">
        <v>78</v>
      </c>
      <c r="F36" t="s">
        <v>24</v>
      </c>
      <c r="G36" t="s">
        <v>25</v>
      </c>
      <c r="H36">
        <v>200</v>
      </c>
      <c r="I36">
        <v>800</v>
      </c>
      <c r="J36">
        <v>6</v>
      </c>
      <c r="K36">
        <v>481</v>
      </c>
      <c r="L36">
        <v>183</v>
      </c>
      <c r="M36">
        <v>612</v>
      </c>
      <c r="N36" t="s">
        <v>15</v>
      </c>
      <c r="O36">
        <v>0</v>
      </c>
      <c r="P36" t="s">
        <v>17</v>
      </c>
      <c r="Q36" s="6">
        <f>Query1[[#This Row],[program_name.test_cases.input.number_of_variables]]/Query1[[#This Row],[program_name.test_cases.input.number_of_functors]]</f>
        <v>3.3442622950819674</v>
      </c>
    </row>
    <row r="37" spans="1:17" x14ac:dyDescent="0.25">
      <c r="A37" t="s">
        <v>13</v>
      </c>
      <c r="B37" t="s">
        <v>26</v>
      </c>
      <c r="C37">
        <v>0.2174892850453034</v>
      </c>
      <c r="D37">
        <v>3244032</v>
      </c>
      <c r="E37" t="s">
        <v>65</v>
      </c>
      <c r="F37" t="s">
        <v>24</v>
      </c>
      <c r="G37" t="s">
        <v>25</v>
      </c>
      <c r="H37">
        <v>200</v>
      </c>
      <c r="I37">
        <v>1000</v>
      </c>
      <c r="J37">
        <v>8</v>
      </c>
      <c r="K37">
        <v>624</v>
      </c>
      <c r="L37">
        <v>162</v>
      </c>
      <c r="M37">
        <v>831</v>
      </c>
      <c r="N37" t="s">
        <v>15</v>
      </c>
      <c r="O37">
        <v>0</v>
      </c>
      <c r="P37" t="s">
        <v>17</v>
      </c>
      <c r="Q37" s="6">
        <f>Query1[[#This Row],[program_name.test_cases.input.number_of_variables]]/Query1[[#This Row],[program_name.test_cases.input.number_of_functors]]</f>
        <v>5.1296296296296298</v>
      </c>
    </row>
    <row r="38" spans="1:17" x14ac:dyDescent="0.25">
      <c r="A38" t="s">
        <v>13</v>
      </c>
      <c r="B38" t="s">
        <v>26</v>
      </c>
      <c r="C38">
        <v>1.8566364360158332</v>
      </c>
      <c r="D38">
        <v>4050944</v>
      </c>
      <c r="E38" t="s">
        <v>101</v>
      </c>
      <c r="F38" t="s">
        <v>24</v>
      </c>
      <c r="G38" t="s">
        <v>25</v>
      </c>
      <c r="H38">
        <v>200</v>
      </c>
      <c r="I38">
        <v>2000</v>
      </c>
      <c r="J38">
        <v>16</v>
      </c>
      <c r="K38">
        <v>1243</v>
      </c>
      <c r="L38">
        <v>182</v>
      </c>
      <c r="M38">
        <v>1787</v>
      </c>
      <c r="N38" t="s">
        <v>15</v>
      </c>
      <c r="O38">
        <v>2</v>
      </c>
      <c r="P38" t="s">
        <v>18</v>
      </c>
      <c r="Q38" s="6">
        <f>Query1[[#This Row],[program_name.test_cases.input.number_of_variables]]/Query1[[#This Row],[program_name.test_cases.input.number_of_functors]]</f>
        <v>9.8186813186813193</v>
      </c>
    </row>
    <row r="39" spans="1:17" x14ac:dyDescent="0.25">
      <c r="A39" t="s">
        <v>13</v>
      </c>
      <c r="B39" t="s">
        <v>26</v>
      </c>
      <c r="C39">
        <v>24.852263525011949</v>
      </c>
      <c r="D39">
        <v>5943296</v>
      </c>
      <c r="E39" t="s">
        <v>108</v>
      </c>
      <c r="F39" t="s">
        <v>24</v>
      </c>
      <c r="G39" t="s">
        <v>25</v>
      </c>
      <c r="H39">
        <v>500</v>
      </c>
      <c r="I39">
        <v>5000</v>
      </c>
      <c r="J39">
        <v>16</v>
      </c>
      <c r="K39">
        <v>3145</v>
      </c>
      <c r="L39">
        <v>4522</v>
      </c>
      <c r="M39">
        <v>447</v>
      </c>
      <c r="N39" t="s">
        <v>15</v>
      </c>
      <c r="O39">
        <v>2</v>
      </c>
      <c r="P39" t="s">
        <v>18</v>
      </c>
      <c r="Q39" s="6">
        <f>Query1[[#This Row],[program_name.test_cases.input.number_of_variables]]/Query1[[#This Row],[program_name.test_cases.input.number_of_functors]]</f>
        <v>9.8850066342326404E-2</v>
      </c>
    </row>
    <row r="40" spans="1:17" hidden="1" x14ac:dyDescent="0.25">
      <c r="A40" t="s">
        <v>13</v>
      </c>
      <c r="B40" t="s">
        <v>14</v>
      </c>
      <c r="C40">
        <v>0.3002178969909437</v>
      </c>
      <c r="D40">
        <v>3268608</v>
      </c>
      <c r="E40" t="s">
        <v>41</v>
      </c>
      <c r="F40" t="s">
        <v>24</v>
      </c>
      <c r="G40" t="s">
        <v>25</v>
      </c>
      <c r="H40">
        <v>200</v>
      </c>
      <c r="I40">
        <v>1000</v>
      </c>
      <c r="J40">
        <v>8</v>
      </c>
      <c r="K40">
        <v>642</v>
      </c>
      <c r="L40">
        <v>510</v>
      </c>
      <c r="M40">
        <v>482</v>
      </c>
      <c r="N40" t="s">
        <v>15</v>
      </c>
      <c r="O40">
        <v>2</v>
      </c>
      <c r="P40" t="s">
        <v>18</v>
      </c>
      <c r="Q40" s="3">
        <f>Query1[[#This Row],[program_name.test_cases.input.number_of_variables]]/H40</f>
        <v>2.41</v>
      </c>
    </row>
    <row r="41" spans="1:17" x14ac:dyDescent="0.25">
      <c r="A41" s="1" t="s">
        <v>13</v>
      </c>
      <c r="B41" s="1" t="s">
        <v>26</v>
      </c>
      <c r="C41" s="5">
        <v>5.3087012179894373</v>
      </c>
      <c r="D41" s="3">
        <v>4300800</v>
      </c>
      <c r="E41" s="1" t="s">
        <v>112</v>
      </c>
      <c r="F41" s="1" t="s">
        <v>24</v>
      </c>
      <c r="G41" s="1" t="s">
        <v>25</v>
      </c>
      <c r="H41" s="1">
        <v>500</v>
      </c>
      <c r="I41" s="2">
        <v>2500</v>
      </c>
      <c r="J41" s="2">
        <v>8</v>
      </c>
      <c r="K41" s="2">
        <v>1580</v>
      </c>
      <c r="L41" s="2">
        <v>2067</v>
      </c>
      <c r="M41" s="2">
        <v>423</v>
      </c>
      <c r="N41" s="2" t="s">
        <v>15</v>
      </c>
      <c r="O41" s="1">
        <v>2</v>
      </c>
      <c r="P41" s="1" t="s">
        <v>18</v>
      </c>
      <c r="Q41" s="6">
        <f>Query1[[#This Row],[program_name.test_cases.input.number_of_variables]]/Query1[[#This Row],[program_name.test_cases.input.number_of_functors]]</f>
        <v>0.204644412191582</v>
      </c>
    </row>
    <row r="42" spans="1:17" x14ac:dyDescent="0.25">
      <c r="A42" s="1" t="s">
        <v>13</v>
      </c>
      <c r="B42" s="1" t="s">
        <v>26</v>
      </c>
      <c r="C42" s="5">
        <v>2.9094761729938909</v>
      </c>
      <c r="D42" s="3">
        <v>3731456</v>
      </c>
      <c r="E42" s="1" t="s">
        <v>76</v>
      </c>
      <c r="F42" s="1" t="s">
        <v>24</v>
      </c>
      <c r="G42" s="1" t="s">
        <v>25</v>
      </c>
      <c r="H42" s="3">
        <v>500</v>
      </c>
      <c r="I42" s="3">
        <v>2000</v>
      </c>
      <c r="J42" s="3">
        <v>6</v>
      </c>
      <c r="K42" s="3">
        <v>1253</v>
      </c>
      <c r="L42" s="3">
        <v>1598</v>
      </c>
      <c r="M42" s="3">
        <v>394</v>
      </c>
      <c r="N42" s="2" t="s">
        <v>15</v>
      </c>
      <c r="O42" s="1">
        <v>0</v>
      </c>
      <c r="P42" s="1" t="s">
        <v>17</v>
      </c>
      <c r="Q42" s="6">
        <f>Query1[[#This Row],[program_name.test_cases.input.number_of_variables]]/Query1[[#This Row],[program_name.test_cases.input.number_of_functors]]</f>
        <v>0.24655819774718399</v>
      </c>
    </row>
    <row r="43" spans="1:17" x14ac:dyDescent="0.25">
      <c r="A43" t="s">
        <v>13</v>
      </c>
      <c r="B43" t="s">
        <v>26</v>
      </c>
      <c r="C43">
        <v>1.6913995000068098</v>
      </c>
      <c r="D43">
        <v>3559424</v>
      </c>
      <c r="E43" t="s">
        <v>63</v>
      </c>
      <c r="F43" t="s">
        <v>24</v>
      </c>
      <c r="G43" t="s">
        <v>25</v>
      </c>
      <c r="H43">
        <v>500</v>
      </c>
      <c r="I43">
        <v>1500</v>
      </c>
      <c r="J43">
        <v>4</v>
      </c>
      <c r="K43">
        <v>940</v>
      </c>
      <c r="L43">
        <v>1134</v>
      </c>
      <c r="M43">
        <v>363</v>
      </c>
      <c r="N43" t="s">
        <v>15</v>
      </c>
      <c r="O43">
        <v>2</v>
      </c>
      <c r="P43" t="s">
        <v>18</v>
      </c>
      <c r="Q43" s="6">
        <f>Query1[[#This Row],[program_name.test_cases.input.number_of_variables]]/Query1[[#This Row],[program_name.test_cases.input.number_of_functors]]</f>
        <v>0.32010582010582012</v>
      </c>
    </row>
    <row r="44" spans="1:17" hidden="1" x14ac:dyDescent="0.25">
      <c r="A44" s="1" t="s">
        <v>13</v>
      </c>
      <c r="B44" s="1" t="s">
        <v>14</v>
      </c>
      <c r="C44" s="5">
        <v>0.14543599000899121</v>
      </c>
      <c r="D44" s="3">
        <v>3293184</v>
      </c>
      <c r="E44" s="1" t="s">
        <v>48</v>
      </c>
      <c r="F44" s="1" t="s">
        <v>24</v>
      </c>
      <c r="G44" s="1" t="s">
        <v>25</v>
      </c>
      <c r="H44" s="1">
        <v>100</v>
      </c>
      <c r="I44" s="2">
        <v>1000</v>
      </c>
      <c r="J44" s="2">
        <v>16</v>
      </c>
      <c r="K44" s="2">
        <v>619</v>
      </c>
      <c r="L44" s="2">
        <v>488</v>
      </c>
      <c r="M44" s="2">
        <v>493</v>
      </c>
      <c r="N44" s="2" t="s">
        <v>15</v>
      </c>
      <c r="O44" s="1">
        <v>2</v>
      </c>
      <c r="P44" s="1" t="s">
        <v>18</v>
      </c>
      <c r="Q44" s="3">
        <f>Query1[[#This Row],[program_name.test_cases.input.number_of_variables]]/H44</f>
        <v>4.93</v>
      </c>
    </row>
    <row r="45" spans="1:17" x14ac:dyDescent="0.25">
      <c r="A45" s="1" t="s">
        <v>13</v>
      </c>
      <c r="B45" s="1" t="s">
        <v>26</v>
      </c>
      <c r="C45" s="5">
        <v>0.6807992480462417</v>
      </c>
      <c r="D45" s="3">
        <v>3194880</v>
      </c>
      <c r="E45" s="1" t="s">
        <v>103</v>
      </c>
      <c r="F45" s="1" t="s">
        <v>24</v>
      </c>
      <c r="G45" s="1" t="s">
        <v>25</v>
      </c>
      <c r="H45" s="1">
        <v>500</v>
      </c>
      <c r="I45" s="2">
        <v>1000</v>
      </c>
      <c r="J45" s="2">
        <v>3</v>
      </c>
      <c r="K45" s="2">
        <v>629</v>
      </c>
      <c r="L45" s="2">
        <v>640</v>
      </c>
      <c r="M45" s="2">
        <v>354</v>
      </c>
      <c r="N45" s="2" t="s">
        <v>15</v>
      </c>
      <c r="O45" s="1">
        <v>0</v>
      </c>
      <c r="P45" s="1" t="s">
        <v>17</v>
      </c>
      <c r="Q45" s="6">
        <f>Query1[[#This Row],[program_name.test_cases.input.number_of_variables]]/Query1[[#This Row],[program_name.test_cases.input.number_of_functors]]</f>
        <v>0.55312499999999998</v>
      </c>
    </row>
    <row r="46" spans="1:17" x14ac:dyDescent="0.25">
      <c r="A46" s="1" t="s">
        <v>13</v>
      </c>
      <c r="B46" s="1" t="s">
        <v>26</v>
      </c>
      <c r="C46" s="5">
        <v>0.65038249501958489</v>
      </c>
      <c r="D46" s="3">
        <v>3248128</v>
      </c>
      <c r="E46" s="1" t="s">
        <v>94</v>
      </c>
      <c r="F46" s="1" t="s">
        <v>24</v>
      </c>
      <c r="G46" s="1" t="s">
        <v>25</v>
      </c>
      <c r="H46" s="1">
        <v>500</v>
      </c>
      <c r="I46" s="2">
        <v>1000</v>
      </c>
      <c r="J46" s="2">
        <v>3</v>
      </c>
      <c r="K46" s="2">
        <v>619</v>
      </c>
      <c r="L46" s="2">
        <v>347</v>
      </c>
      <c r="M46" s="2">
        <v>649</v>
      </c>
      <c r="N46" s="2" t="s">
        <v>15</v>
      </c>
      <c r="O46" s="1">
        <v>2</v>
      </c>
      <c r="P46" s="1" t="s">
        <v>18</v>
      </c>
      <c r="Q46" s="6">
        <f>Query1[[#This Row],[program_name.test_cases.input.number_of_variables]]/Query1[[#This Row],[program_name.test_cases.input.number_of_functors]]</f>
        <v>1.8703170028818443</v>
      </c>
    </row>
    <row r="47" spans="1:17" hidden="1" x14ac:dyDescent="0.25">
      <c r="A47" t="s">
        <v>13</v>
      </c>
      <c r="B47" t="s">
        <v>14</v>
      </c>
      <c r="C47">
        <v>1.4936829950311219</v>
      </c>
      <c r="D47">
        <v>3543040</v>
      </c>
      <c r="E47" t="s">
        <v>54</v>
      </c>
      <c r="F47" t="s">
        <v>24</v>
      </c>
      <c r="G47" t="s">
        <v>25</v>
      </c>
      <c r="H47">
        <v>500</v>
      </c>
      <c r="I47">
        <v>1500</v>
      </c>
      <c r="J47">
        <v>4</v>
      </c>
      <c r="K47">
        <v>947</v>
      </c>
      <c r="L47">
        <v>730</v>
      </c>
      <c r="M47">
        <v>766</v>
      </c>
      <c r="N47" t="s">
        <v>15</v>
      </c>
      <c r="O47">
        <v>0</v>
      </c>
      <c r="P47" t="s">
        <v>17</v>
      </c>
      <c r="Q47" s="3">
        <f>Query1[[#This Row],[program_name.test_cases.input.number_of_variables]]/H47</f>
        <v>1.532</v>
      </c>
    </row>
    <row r="48" spans="1:17" x14ac:dyDescent="0.25">
      <c r="A48" t="s">
        <v>13</v>
      </c>
      <c r="B48" t="s">
        <v>26</v>
      </c>
      <c r="C48">
        <v>1.2987385379965417</v>
      </c>
      <c r="D48">
        <v>3571712</v>
      </c>
      <c r="E48" t="s">
        <v>59</v>
      </c>
      <c r="F48" t="s">
        <v>24</v>
      </c>
      <c r="G48" t="s">
        <v>25</v>
      </c>
      <c r="H48">
        <v>500</v>
      </c>
      <c r="I48">
        <v>1500</v>
      </c>
      <c r="J48">
        <v>4</v>
      </c>
      <c r="K48">
        <v>935</v>
      </c>
      <c r="L48">
        <v>365</v>
      </c>
      <c r="M48">
        <v>1134</v>
      </c>
      <c r="N48" t="s">
        <v>15</v>
      </c>
      <c r="O48">
        <v>0</v>
      </c>
      <c r="P48" t="s">
        <v>17</v>
      </c>
      <c r="Q48" s="6">
        <f>Query1[[#This Row],[program_name.test_cases.input.number_of_variables]]/Query1[[#This Row],[program_name.test_cases.input.number_of_functors]]</f>
        <v>3.106849315068493</v>
      </c>
    </row>
    <row r="49" spans="1:17" x14ac:dyDescent="0.25">
      <c r="A49" s="1" t="s">
        <v>13</v>
      </c>
      <c r="B49" s="1" t="s">
        <v>26</v>
      </c>
      <c r="C49" s="5">
        <v>3.2064863319974393</v>
      </c>
      <c r="D49" s="3">
        <v>4055040</v>
      </c>
      <c r="E49" s="1" t="s">
        <v>64</v>
      </c>
      <c r="F49" s="1" t="s">
        <v>24</v>
      </c>
      <c r="G49" s="1" t="s">
        <v>25</v>
      </c>
      <c r="H49" s="1">
        <v>500</v>
      </c>
      <c r="I49" s="2">
        <v>2000</v>
      </c>
      <c r="J49" s="2">
        <v>6</v>
      </c>
      <c r="K49" s="2">
        <v>1244</v>
      </c>
      <c r="L49" s="2">
        <v>415</v>
      </c>
      <c r="M49" s="2">
        <v>1581</v>
      </c>
      <c r="N49" s="2" t="s">
        <v>15</v>
      </c>
      <c r="O49" s="1">
        <v>0</v>
      </c>
      <c r="P49" s="1" t="s">
        <v>17</v>
      </c>
      <c r="Q49" s="6">
        <f>Query1[[#This Row],[program_name.test_cases.input.number_of_variables]]/Query1[[#This Row],[program_name.test_cases.input.number_of_functors]]</f>
        <v>3.8096385542168676</v>
      </c>
    </row>
    <row r="50" spans="1:17" x14ac:dyDescent="0.25">
      <c r="A50" t="s">
        <v>13</v>
      </c>
      <c r="B50" t="s">
        <v>26</v>
      </c>
      <c r="C50">
        <v>300.00418092100881</v>
      </c>
      <c r="D50">
        <v>7065600</v>
      </c>
      <c r="E50" t="s">
        <v>80</v>
      </c>
      <c r="F50" t="s">
        <v>24</v>
      </c>
      <c r="G50" t="s">
        <v>25</v>
      </c>
      <c r="H50">
        <v>500</v>
      </c>
      <c r="I50">
        <v>2500</v>
      </c>
      <c r="J50">
        <v>8</v>
      </c>
      <c r="K50">
        <v>1567</v>
      </c>
      <c r="L50">
        <v>400</v>
      </c>
      <c r="M50">
        <v>2087</v>
      </c>
      <c r="N50" t="s">
        <v>15</v>
      </c>
      <c r="P50" t="s">
        <v>16</v>
      </c>
      <c r="Q50" s="6">
        <f>Query1[[#This Row],[program_name.test_cases.input.number_of_variables]]/Query1[[#This Row],[program_name.test_cases.input.number_of_functors]]</f>
        <v>5.2175000000000002</v>
      </c>
    </row>
    <row r="51" spans="1:17" x14ac:dyDescent="0.25">
      <c r="A51" t="s">
        <v>13</v>
      </c>
      <c r="B51" t="s">
        <v>26</v>
      </c>
      <c r="C51">
        <v>300.00573608197737</v>
      </c>
      <c r="D51">
        <v>6463488</v>
      </c>
      <c r="E51" t="s">
        <v>73</v>
      </c>
      <c r="F51" t="s">
        <v>24</v>
      </c>
      <c r="G51" t="s">
        <v>25</v>
      </c>
      <c r="H51">
        <v>500</v>
      </c>
      <c r="I51">
        <v>5000</v>
      </c>
      <c r="J51">
        <v>16</v>
      </c>
      <c r="K51">
        <v>3129</v>
      </c>
      <c r="L51">
        <v>491</v>
      </c>
      <c r="M51">
        <v>4478</v>
      </c>
      <c r="N51" t="s">
        <v>15</v>
      </c>
      <c r="P51" t="s">
        <v>16</v>
      </c>
      <c r="Q51" s="6">
        <f>Query1[[#This Row],[program_name.test_cases.input.number_of_variables]]/Query1[[#This Row],[program_name.test_cases.input.number_of_functors]]</f>
        <v>9.1201629327902243</v>
      </c>
    </row>
    <row r="52" spans="1:17" x14ac:dyDescent="0.25">
      <c r="A52" t="s">
        <v>13</v>
      </c>
      <c r="B52" t="s">
        <v>26</v>
      </c>
      <c r="C52">
        <v>211.94601863500429</v>
      </c>
      <c r="D52">
        <v>8880128</v>
      </c>
      <c r="E52" t="s">
        <v>104</v>
      </c>
      <c r="F52" t="s">
        <v>24</v>
      </c>
      <c r="G52" t="s">
        <v>25</v>
      </c>
      <c r="H52">
        <v>1000</v>
      </c>
      <c r="I52">
        <v>10000</v>
      </c>
      <c r="J52">
        <v>16</v>
      </c>
      <c r="K52">
        <v>6297</v>
      </c>
      <c r="L52">
        <v>9060</v>
      </c>
      <c r="M52">
        <v>908</v>
      </c>
      <c r="N52" t="s">
        <v>15</v>
      </c>
      <c r="O52">
        <v>2</v>
      </c>
      <c r="P52" t="s">
        <v>18</v>
      </c>
      <c r="Q52" s="6">
        <f>Query1[[#This Row],[program_name.test_cases.input.number_of_variables]]/Query1[[#This Row],[program_name.test_cases.input.number_of_functors]]</f>
        <v>0.10022075055187638</v>
      </c>
    </row>
    <row r="53" spans="1:17" hidden="1" x14ac:dyDescent="0.25">
      <c r="A53" s="1" t="s">
        <v>13</v>
      </c>
      <c r="B53" s="1" t="s">
        <v>14</v>
      </c>
      <c r="C53" s="5">
        <v>3.0416369649465196</v>
      </c>
      <c r="D53" s="3">
        <v>3837952</v>
      </c>
      <c r="E53" s="1" t="s">
        <v>32</v>
      </c>
      <c r="F53" s="1" t="s">
        <v>24</v>
      </c>
      <c r="G53" s="1" t="s">
        <v>25</v>
      </c>
      <c r="H53" s="1">
        <v>500</v>
      </c>
      <c r="I53" s="3">
        <v>2000</v>
      </c>
      <c r="J53" s="3">
        <v>6</v>
      </c>
      <c r="K53" s="3">
        <v>1257</v>
      </c>
      <c r="L53" s="3">
        <v>974</v>
      </c>
      <c r="M53" s="3">
        <v>1014</v>
      </c>
      <c r="N53" s="2" t="s">
        <v>15</v>
      </c>
      <c r="O53" s="1">
        <v>2</v>
      </c>
      <c r="P53" s="1" t="s">
        <v>18</v>
      </c>
      <c r="Q53" s="3">
        <f>Query1[[#This Row],[program_name.test_cases.input.number_of_variables]]/H53</f>
        <v>2.028</v>
      </c>
    </row>
    <row r="54" spans="1:17" x14ac:dyDescent="0.25">
      <c r="A54" t="s">
        <v>13</v>
      </c>
      <c r="B54" t="s">
        <v>26</v>
      </c>
      <c r="C54">
        <v>48.231751310988329</v>
      </c>
      <c r="D54">
        <v>5931008</v>
      </c>
      <c r="E54" t="s">
        <v>79</v>
      </c>
      <c r="F54" t="s">
        <v>24</v>
      </c>
      <c r="G54" t="s">
        <v>25</v>
      </c>
      <c r="H54">
        <v>1000</v>
      </c>
      <c r="I54">
        <v>5000</v>
      </c>
      <c r="J54">
        <v>8</v>
      </c>
      <c r="K54">
        <v>3122</v>
      </c>
      <c r="L54">
        <v>4156</v>
      </c>
      <c r="M54">
        <v>834</v>
      </c>
      <c r="N54" t="s">
        <v>15</v>
      </c>
      <c r="O54">
        <v>2</v>
      </c>
      <c r="P54" t="s">
        <v>18</v>
      </c>
      <c r="Q54" s="6">
        <f>Query1[[#This Row],[program_name.test_cases.input.number_of_variables]]/Query1[[#This Row],[program_name.test_cases.input.number_of_functors]]</f>
        <v>0.20067372473532241</v>
      </c>
    </row>
    <row r="55" spans="1:17" x14ac:dyDescent="0.25">
      <c r="A55" s="1" t="s">
        <v>13</v>
      </c>
      <c r="B55" s="1" t="s">
        <v>26</v>
      </c>
      <c r="C55" s="5">
        <v>26.531098607985768</v>
      </c>
      <c r="D55" s="3">
        <v>5423104</v>
      </c>
      <c r="E55" s="1" t="s">
        <v>70</v>
      </c>
      <c r="F55" s="1" t="s">
        <v>24</v>
      </c>
      <c r="G55" s="1" t="s">
        <v>25</v>
      </c>
      <c r="H55" s="3">
        <v>1000</v>
      </c>
      <c r="I55" s="3">
        <v>4000</v>
      </c>
      <c r="J55" s="3">
        <v>6</v>
      </c>
      <c r="K55" s="3">
        <v>2482</v>
      </c>
      <c r="L55" s="3">
        <v>3172</v>
      </c>
      <c r="M55" s="3">
        <v>818</v>
      </c>
      <c r="N55" s="2" t="s">
        <v>15</v>
      </c>
      <c r="O55" s="1">
        <v>0</v>
      </c>
      <c r="P55" s="1" t="s">
        <v>17</v>
      </c>
      <c r="Q55" s="6">
        <f>Query1[[#This Row],[program_name.test_cases.input.number_of_variables]]/Query1[[#This Row],[program_name.test_cases.input.number_of_functors]]</f>
        <v>0.25788146279949559</v>
      </c>
    </row>
    <row r="56" spans="1:17" hidden="1" x14ac:dyDescent="0.25">
      <c r="A56" s="1" t="s">
        <v>13</v>
      </c>
      <c r="B56" s="1" t="s">
        <v>14</v>
      </c>
      <c r="C56" s="5">
        <v>6.413694208022207</v>
      </c>
      <c r="D56" s="3">
        <v>4100096</v>
      </c>
      <c r="E56" s="1" t="s">
        <v>52</v>
      </c>
      <c r="F56" s="1" t="s">
        <v>24</v>
      </c>
      <c r="G56" s="1" t="s">
        <v>25</v>
      </c>
      <c r="H56" s="1">
        <v>1000</v>
      </c>
      <c r="I56" s="2">
        <v>2000</v>
      </c>
      <c r="J56" s="2">
        <v>3</v>
      </c>
      <c r="K56" s="2">
        <v>1240</v>
      </c>
      <c r="L56" s="2">
        <v>948</v>
      </c>
      <c r="M56" s="2">
        <v>1049</v>
      </c>
      <c r="N56" s="2" t="s">
        <v>15</v>
      </c>
      <c r="O56" s="1">
        <v>0</v>
      </c>
      <c r="P56" s="1" t="s">
        <v>17</v>
      </c>
      <c r="Q56" s="3">
        <f>Query1[[#This Row],[program_name.test_cases.input.number_of_variables]]/H56</f>
        <v>1.0489999999999999</v>
      </c>
    </row>
    <row r="57" spans="1:17" x14ac:dyDescent="0.25">
      <c r="A57" t="s">
        <v>13</v>
      </c>
      <c r="B57" t="s">
        <v>26</v>
      </c>
      <c r="C57">
        <v>15.698279021016788</v>
      </c>
      <c r="D57">
        <v>4853760</v>
      </c>
      <c r="E57" t="s">
        <v>68</v>
      </c>
      <c r="F57" t="s">
        <v>24</v>
      </c>
      <c r="G57" t="s">
        <v>25</v>
      </c>
      <c r="H57">
        <v>1000</v>
      </c>
      <c r="I57">
        <v>3000</v>
      </c>
      <c r="J57">
        <v>4</v>
      </c>
      <c r="K57">
        <v>1869</v>
      </c>
      <c r="L57">
        <v>2266</v>
      </c>
      <c r="M57">
        <v>732</v>
      </c>
      <c r="N57" t="s">
        <v>15</v>
      </c>
      <c r="O57">
        <v>0</v>
      </c>
      <c r="P57" t="s">
        <v>17</v>
      </c>
      <c r="Q57" s="6">
        <f>Query1[[#This Row],[program_name.test_cases.input.number_of_variables]]/Query1[[#This Row],[program_name.test_cases.input.number_of_functors]]</f>
        <v>0.32303618711385701</v>
      </c>
    </row>
    <row r="58" spans="1:17" x14ac:dyDescent="0.25">
      <c r="A58" t="s">
        <v>13</v>
      </c>
      <c r="B58" t="s">
        <v>26</v>
      </c>
      <c r="C58">
        <v>7.2987805180018768</v>
      </c>
      <c r="D58">
        <v>4009984</v>
      </c>
      <c r="E58" t="s">
        <v>93</v>
      </c>
      <c r="F58" t="s">
        <v>24</v>
      </c>
      <c r="G58" t="s">
        <v>25</v>
      </c>
      <c r="H58">
        <v>1000</v>
      </c>
      <c r="I58">
        <v>2000</v>
      </c>
      <c r="J58">
        <v>3</v>
      </c>
      <c r="K58">
        <v>1273</v>
      </c>
      <c r="L58">
        <v>1346</v>
      </c>
      <c r="M58">
        <v>653</v>
      </c>
      <c r="N58" t="s">
        <v>15</v>
      </c>
      <c r="O58">
        <v>0</v>
      </c>
      <c r="P58" t="s">
        <v>17</v>
      </c>
      <c r="Q58" s="6">
        <f>Query1[[#This Row],[program_name.test_cases.input.number_of_variables]]/Query1[[#This Row],[program_name.test_cases.input.number_of_functors]]</f>
        <v>0.48514115898959881</v>
      </c>
    </row>
    <row r="59" spans="1:17" hidden="1" x14ac:dyDescent="0.25">
      <c r="A59" s="1" t="s">
        <v>13</v>
      </c>
      <c r="B59" s="1" t="s">
        <v>14</v>
      </c>
      <c r="C59" s="5">
        <v>4.8539105160161853</v>
      </c>
      <c r="D59" s="3">
        <v>4362240</v>
      </c>
      <c r="E59" s="1" t="s">
        <v>39</v>
      </c>
      <c r="F59" s="1" t="s">
        <v>24</v>
      </c>
      <c r="G59" s="1" t="s">
        <v>25</v>
      </c>
      <c r="H59" s="1">
        <v>500</v>
      </c>
      <c r="I59" s="2">
        <v>2500</v>
      </c>
      <c r="J59" s="2">
        <v>8</v>
      </c>
      <c r="K59" s="2">
        <v>1542</v>
      </c>
      <c r="L59" s="2">
        <v>1214</v>
      </c>
      <c r="M59" s="2">
        <v>1272</v>
      </c>
      <c r="N59" s="2" t="s">
        <v>15</v>
      </c>
      <c r="O59" s="1">
        <v>0</v>
      </c>
      <c r="P59" s="1" t="s">
        <v>17</v>
      </c>
      <c r="Q59" s="3">
        <f>Query1[[#This Row],[program_name.test_cases.input.number_of_variables]]/H59</f>
        <v>2.544</v>
      </c>
    </row>
    <row r="60" spans="1:17" x14ac:dyDescent="0.25">
      <c r="A60" t="s">
        <v>13</v>
      </c>
      <c r="B60" t="s">
        <v>26</v>
      </c>
      <c r="C60">
        <v>6.8757658689864911</v>
      </c>
      <c r="D60">
        <v>4288512</v>
      </c>
      <c r="E60" t="s">
        <v>105</v>
      </c>
      <c r="F60" t="s">
        <v>24</v>
      </c>
      <c r="G60" t="s">
        <v>25</v>
      </c>
      <c r="H60">
        <v>1000</v>
      </c>
      <c r="I60">
        <v>2000</v>
      </c>
      <c r="J60">
        <v>3</v>
      </c>
      <c r="K60">
        <v>1276</v>
      </c>
      <c r="L60">
        <v>667</v>
      </c>
      <c r="M60">
        <v>1332</v>
      </c>
      <c r="N60" t="s">
        <v>15</v>
      </c>
      <c r="O60">
        <v>2</v>
      </c>
      <c r="P60" t="s">
        <v>18</v>
      </c>
      <c r="Q60" s="6">
        <f>Query1[[#This Row],[program_name.test_cases.input.number_of_variables]]/Query1[[#This Row],[program_name.test_cases.input.number_of_functors]]</f>
        <v>1.9970014992503748</v>
      </c>
    </row>
    <row r="61" spans="1:17" x14ac:dyDescent="0.25">
      <c r="A61" t="s">
        <v>13</v>
      </c>
      <c r="B61" t="s">
        <v>26</v>
      </c>
      <c r="C61">
        <v>13.190538382972591</v>
      </c>
      <c r="D61">
        <v>4567040</v>
      </c>
      <c r="E61" t="s">
        <v>57</v>
      </c>
      <c r="F61" t="s">
        <v>24</v>
      </c>
      <c r="G61" t="s">
        <v>25</v>
      </c>
      <c r="H61">
        <v>1000</v>
      </c>
      <c r="I61">
        <v>3000</v>
      </c>
      <c r="J61">
        <v>4</v>
      </c>
      <c r="K61">
        <v>1895</v>
      </c>
      <c r="L61">
        <v>763</v>
      </c>
      <c r="M61">
        <v>2230</v>
      </c>
      <c r="N61" t="s">
        <v>15</v>
      </c>
      <c r="O61">
        <v>0</v>
      </c>
      <c r="P61" t="s">
        <v>17</v>
      </c>
      <c r="Q61" s="6">
        <f>Query1[[#This Row],[program_name.test_cases.input.number_of_variables]]/Query1[[#This Row],[program_name.test_cases.input.number_of_functors]]</f>
        <v>2.9226736566186107</v>
      </c>
    </row>
    <row r="62" spans="1:17" x14ac:dyDescent="0.25">
      <c r="A62" t="s">
        <v>13</v>
      </c>
      <c r="B62" t="s">
        <v>26</v>
      </c>
      <c r="C62">
        <v>23.741120821970981</v>
      </c>
      <c r="D62">
        <v>5640192</v>
      </c>
      <c r="E62" t="s">
        <v>71</v>
      </c>
      <c r="F62" t="s">
        <v>24</v>
      </c>
      <c r="G62" t="s">
        <v>25</v>
      </c>
      <c r="H62">
        <v>1000</v>
      </c>
      <c r="I62">
        <v>4000</v>
      </c>
      <c r="J62">
        <v>6</v>
      </c>
      <c r="K62">
        <v>2498</v>
      </c>
      <c r="L62">
        <v>836</v>
      </c>
      <c r="M62">
        <v>3155</v>
      </c>
      <c r="N62" t="s">
        <v>15</v>
      </c>
      <c r="O62">
        <v>2</v>
      </c>
      <c r="P62" t="s">
        <v>18</v>
      </c>
      <c r="Q62" s="6">
        <f>Query1[[#This Row],[program_name.test_cases.input.number_of_variables]]/Query1[[#This Row],[program_name.test_cases.input.number_of_functors]]</f>
        <v>3.7739234449760763</v>
      </c>
    </row>
    <row r="63" spans="1:17" x14ac:dyDescent="0.25">
      <c r="A63" s="1" t="s">
        <v>13</v>
      </c>
      <c r="B63" s="1" t="s">
        <v>26</v>
      </c>
      <c r="C63" s="5">
        <v>59.843705540988594</v>
      </c>
      <c r="D63" s="3">
        <v>6426624</v>
      </c>
      <c r="E63" s="1" t="s">
        <v>114</v>
      </c>
      <c r="F63" s="1" t="s">
        <v>24</v>
      </c>
      <c r="G63" s="1" t="s">
        <v>25</v>
      </c>
      <c r="H63" s="1">
        <v>1000</v>
      </c>
      <c r="I63" s="2">
        <v>5000</v>
      </c>
      <c r="J63" s="2">
        <v>8</v>
      </c>
      <c r="K63" s="2">
        <v>3118</v>
      </c>
      <c r="L63" s="2">
        <v>834</v>
      </c>
      <c r="M63" s="2">
        <v>4154</v>
      </c>
      <c r="N63" s="2" t="s">
        <v>15</v>
      </c>
      <c r="O63" s="1">
        <v>0</v>
      </c>
      <c r="P63" s="1" t="s">
        <v>17</v>
      </c>
      <c r="Q63" s="6">
        <f>Query1[[#This Row],[program_name.test_cases.input.number_of_variables]]/Query1[[#This Row],[program_name.test_cases.input.number_of_functors]]</f>
        <v>4.9808153477218227</v>
      </c>
    </row>
    <row r="64" spans="1:17" hidden="1" x14ac:dyDescent="0.25">
      <c r="A64" s="1" t="s">
        <v>13</v>
      </c>
      <c r="B64" s="1" t="s">
        <v>14</v>
      </c>
      <c r="C64" s="5">
        <v>13.829431433987338</v>
      </c>
      <c r="D64" s="3">
        <v>4898816</v>
      </c>
      <c r="E64" s="1" t="s">
        <v>30</v>
      </c>
      <c r="F64" s="1" t="s">
        <v>24</v>
      </c>
      <c r="G64" s="1" t="s">
        <v>25</v>
      </c>
      <c r="H64" s="1">
        <v>1000</v>
      </c>
      <c r="I64" s="2">
        <v>3000</v>
      </c>
      <c r="J64" s="2">
        <v>4</v>
      </c>
      <c r="K64" s="2">
        <v>1853</v>
      </c>
      <c r="L64" s="2">
        <v>1501</v>
      </c>
      <c r="M64" s="2">
        <v>1493</v>
      </c>
      <c r="N64" s="2" t="s">
        <v>15</v>
      </c>
      <c r="O64" s="1">
        <v>0</v>
      </c>
      <c r="P64" s="1" t="s">
        <v>17</v>
      </c>
      <c r="Q64" s="3">
        <f>Query1[[#This Row],[program_name.test_cases.input.number_of_variables]]/H64</f>
        <v>1.4930000000000001</v>
      </c>
    </row>
    <row r="65" spans="1:17" x14ac:dyDescent="0.25">
      <c r="A65" t="s">
        <v>13</v>
      </c>
      <c r="B65" t="s">
        <v>26</v>
      </c>
      <c r="C65">
        <v>300.00713142397581</v>
      </c>
      <c r="D65">
        <v>10809344</v>
      </c>
      <c r="E65" t="s">
        <v>61</v>
      </c>
      <c r="F65" t="s">
        <v>24</v>
      </c>
      <c r="G65" t="s">
        <v>25</v>
      </c>
      <c r="H65">
        <v>1000</v>
      </c>
      <c r="I65">
        <v>10000</v>
      </c>
      <c r="J65">
        <v>16</v>
      </c>
      <c r="K65">
        <v>6228</v>
      </c>
      <c r="L65">
        <v>931</v>
      </c>
      <c r="M65">
        <v>9041</v>
      </c>
      <c r="N65" t="s">
        <v>15</v>
      </c>
      <c r="P65" t="s">
        <v>16</v>
      </c>
      <c r="Q65" s="6">
        <f>Query1[[#This Row],[program_name.test_cases.input.number_of_variables]]/Query1[[#This Row],[program_name.test_cases.input.number_of_functors]]</f>
        <v>9.7110633727175077</v>
      </c>
    </row>
    <row r="66" spans="1:17" x14ac:dyDescent="0.25">
      <c r="A66" t="s">
        <v>13</v>
      </c>
      <c r="B66" t="s">
        <v>26</v>
      </c>
      <c r="C66">
        <v>299.9994711719919</v>
      </c>
      <c r="D66">
        <v>17735680</v>
      </c>
      <c r="E66" t="s">
        <v>90</v>
      </c>
      <c r="F66" t="s">
        <v>24</v>
      </c>
      <c r="G66" t="s">
        <v>25</v>
      </c>
      <c r="H66">
        <v>2500</v>
      </c>
      <c r="I66">
        <v>25000</v>
      </c>
      <c r="J66">
        <v>16</v>
      </c>
      <c r="K66">
        <v>15550</v>
      </c>
      <c r="L66">
        <v>22695</v>
      </c>
      <c r="M66">
        <v>2264</v>
      </c>
      <c r="N66" t="s">
        <v>15</v>
      </c>
      <c r="P66" t="s">
        <v>16</v>
      </c>
      <c r="Q66" s="6">
        <f>Query1[[#This Row],[program_name.test_cases.input.number_of_variables]]/Query1[[#This Row],[program_name.test_cases.input.number_of_functors]]</f>
        <v>9.9757655871337295E-2</v>
      </c>
    </row>
    <row r="67" spans="1:17" x14ac:dyDescent="0.25">
      <c r="A67" t="s">
        <v>13</v>
      </c>
      <c r="B67" t="s">
        <v>26</v>
      </c>
      <c r="C67">
        <v>300.00124824902741</v>
      </c>
      <c r="D67">
        <v>10555392</v>
      </c>
      <c r="E67" t="s">
        <v>95</v>
      </c>
      <c r="F67" t="s">
        <v>24</v>
      </c>
      <c r="G67" t="s">
        <v>25</v>
      </c>
      <c r="H67">
        <v>2500</v>
      </c>
      <c r="I67">
        <v>12500</v>
      </c>
      <c r="J67">
        <v>8</v>
      </c>
      <c r="K67">
        <v>7770</v>
      </c>
      <c r="L67">
        <v>10380</v>
      </c>
      <c r="M67">
        <v>2100</v>
      </c>
      <c r="N67" t="s">
        <v>15</v>
      </c>
      <c r="P67" t="s">
        <v>16</v>
      </c>
      <c r="Q67" s="6">
        <f>Query1[[#This Row],[program_name.test_cases.input.number_of_variables]]/Query1[[#This Row],[program_name.test_cases.input.number_of_functors]]</f>
        <v>0.20231213872832371</v>
      </c>
    </row>
    <row r="68" spans="1:17" x14ac:dyDescent="0.25">
      <c r="A68" s="1" t="s">
        <v>13</v>
      </c>
      <c r="B68" s="1" t="s">
        <v>26</v>
      </c>
      <c r="C68" s="5">
        <v>300.00627186801285</v>
      </c>
      <c r="D68" s="3">
        <v>9076736</v>
      </c>
      <c r="E68" s="1" t="s">
        <v>91</v>
      </c>
      <c r="F68" s="1" t="s">
        <v>24</v>
      </c>
      <c r="G68" s="1" t="s">
        <v>25</v>
      </c>
      <c r="H68" s="1">
        <v>2500</v>
      </c>
      <c r="I68" s="2">
        <v>10000</v>
      </c>
      <c r="J68" s="2">
        <v>6</v>
      </c>
      <c r="K68" s="2">
        <v>6294</v>
      </c>
      <c r="L68" s="2">
        <v>8013</v>
      </c>
      <c r="M68" s="2">
        <v>1975</v>
      </c>
      <c r="N68" s="2" t="s">
        <v>15</v>
      </c>
      <c r="O68" s="1"/>
      <c r="P68" s="1" t="s">
        <v>16</v>
      </c>
      <c r="Q68" s="6">
        <f>Query1[[#This Row],[program_name.test_cases.input.number_of_variables]]/Query1[[#This Row],[program_name.test_cases.input.number_of_functors]]</f>
        <v>0.24647447897167105</v>
      </c>
    </row>
    <row r="69" spans="1:17" x14ac:dyDescent="0.25">
      <c r="A69" t="s">
        <v>13</v>
      </c>
      <c r="B69" t="s">
        <v>26</v>
      </c>
      <c r="C69">
        <v>300.00193697499344</v>
      </c>
      <c r="D69">
        <v>7806976</v>
      </c>
      <c r="E69" t="s">
        <v>100</v>
      </c>
      <c r="F69" t="s">
        <v>24</v>
      </c>
      <c r="G69" t="s">
        <v>25</v>
      </c>
      <c r="H69">
        <v>2500</v>
      </c>
      <c r="I69">
        <v>7500</v>
      </c>
      <c r="J69">
        <v>4</v>
      </c>
      <c r="K69">
        <v>4690</v>
      </c>
      <c r="L69">
        <v>5598</v>
      </c>
      <c r="M69">
        <v>1893</v>
      </c>
      <c r="N69" t="s">
        <v>15</v>
      </c>
      <c r="P69" t="s">
        <v>16</v>
      </c>
      <c r="Q69" s="6">
        <f>Query1[[#This Row],[program_name.test_cases.input.number_of_variables]]/Query1[[#This Row],[program_name.test_cases.input.number_of_functors]]</f>
        <v>0.33815648445873525</v>
      </c>
    </row>
    <row r="70" spans="1:17" x14ac:dyDescent="0.25">
      <c r="A70" t="s">
        <v>13</v>
      </c>
      <c r="B70" t="s">
        <v>26</v>
      </c>
      <c r="C70">
        <v>141.18269220803631</v>
      </c>
      <c r="D70">
        <v>6508544</v>
      </c>
      <c r="E70" t="s">
        <v>72</v>
      </c>
      <c r="F70" t="s">
        <v>24</v>
      </c>
      <c r="G70" t="s">
        <v>25</v>
      </c>
      <c r="H70">
        <v>2500</v>
      </c>
      <c r="I70">
        <v>5000</v>
      </c>
      <c r="J70">
        <v>3</v>
      </c>
      <c r="K70">
        <v>3090</v>
      </c>
      <c r="L70">
        <v>3332</v>
      </c>
      <c r="M70">
        <v>1664</v>
      </c>
      <c r="N70" t="s">
        <v>15</v>
      </c>
      <c r="O70">
        <v>2</v>
      </c>
      <c r="P70" t="s">
        <v>18</v>
      </c>
      <c r="Q70" s="6">
        <f>Query1[[#This Row],[program_name.test_cases.input.number_of_variables]]/Query1[[#This Row],[program_name.test_cases.input.number_of_functors]]</f>
        <v>0.49939975990396157</v>
      </c>
    </row>
    <row r="71" spans="1:17" x14ac:dyDescent="0.25">
      <c r="A71" s="1" t="s">
        <v>13</v>
      </c>
      <c r="B71" s="1" t="s">
        <v>26</v>
      </c>
      <c r="C71" s="5">
        <v>136.1201053870027</v>
      </c>
      <c r="D71" s="3">
        <v>6389760</v>
      </c>
      <c r="E71" s="1" t="s">
        <v>89</v>
      </c>
      <c r="F71" s="1" t="s">
        <v>24</v>
      </c>
      <c r="G71" s="1" t="s">
        <v>25</v>
      </c>
      <c r="H71" s="1">
        <v>2500</v>
      </c>
      <c r="I71" s="2">
        <v>5000</v>
      </c>
      <c r="J71" s="2">
        <v>3</v>
      </c>
      <c r="K71" s="2">
        <v>3172</v>
      </c>
      <c r="L71" s="2">
        <v>1664</v>
      </c>
      <c r="M71" s="2">
        <v>3333</v>
      </c>
      <c r="N71" s="2" t="s">
        <v>15</v>
      </c>
      <c r="O71" s="1">
        <v>2</v>
      </c>
      <c r="P71" s="1" t="s">
        <v>18</v>
      </c>
      <c r="Q71" s="6">
        <f>Query1[[#This Row],[program_name.test_cases.input.number_of_variables]]/Query1[[#This Row],[program_name.test_cases.input.number_of_functors]]</f>
        <v>2.0030048076923075</v>
      </c>
    </row>
    <row r="72" spans="1:17" hidden="1" x14ac:dyDescent="0.25">
      <c r="A72" t="s">
        <v>13</v>
      </c>
      <c r="B72" t="s">
        <v>14</v>
      </c>
      <c r="C72">
        <v>29.267017912992745</v>
      </c>
      <c r="D72">
        <v>5414912</v>
      </c>
      <c r="E72" t="s">
        <v>29</v>
      </c>
      <c r="F72" t="s">
        <v>24</v>
      </c>
      <c r="G72" t="s">
        <v>25</v>
      </c>
      <c r="H72">
        <v>1000</v>
      </c>
      <c r="I72">
        <v>4000</v>
      </c>
      <c r="J72">
        <v>6</v>
      </c>
      <c r="K72">
        <v>2507</v>
      </c>
      <c r="L72">
        <v>2032</v>
      </c>
      <c r="M72">
        <v>1960</v>
      </c>
      <c r="N72" t="s">
        <v>15</v>
      </c>
      <c r="O72">
        <v>2</v>
      </c>
      <c r="P72" t="s">
        <v>18</v>
      </c>
      <c r="Q72" s="3">
        <f>Query1[[#This Row],[program_name.test_cases.input.number_of_variables]]/H72</f>
        <v>1.96</v>
      </c>
    </row>
    <row r="73" spans="1:17" hidden="1" x14ac:dyDescent="0.25">
      <c r="A73" t="s">
        <v>13</v>
      </c>
      <c r="B73" t="s">
        <v>14</v>
      </c>
      <c r="C73">
        <v>43.739428009022959</v>
      </c>
      <c r="D73">
        <v>6221824</v>
      </c>
      <c r="E73" t="s">
        <v>51</v>
      </c>
      <c r="F73" t="s">
        <v>24</v>
      </c>
      <c r="G73" t="s">
        <v>25</v>
      </c>
      <c r="H73">
        <v>1000</v>
      </c>
      <c r="I73">
        <v>5000</v>
      </c>
      <c r="J73">
        <v>8</v>
      </c>
      <c r="K73">
        <v>3066</v>
      </c>
      <c r="L73">
        <v>2538</v>
      </c>
      <c r="M73">
        <v>2451</v>
      </c>
      <c r="N73" t="s">
        <v>15</v>
      </c>
      <c r="O73">
        <v>2</v>
      </c>
      <c r="P73" t="s">
        <v>18</v>
      </c>
      <c r="Q73" s="3">
        <f>Query1[[#This Row],[program_name.test_cases.input.number_of_variables]]/H73</f>
        <v>2.4510000000000001</v>
      </c>
    </row>
    <row r="74" spans="1:17" hidden="1" x14ac:dyDescent="0.25">
      <c r="A74" t="s">
        <v>13</v>
      </c>
      <c r="B74" t="s">
        <v>14</v>
      </c>
      <c r="C74">
        <v>139.66695792996325</v>
      </c>
      <c r="D74">
        <v>6365184</v>
      </c>
      <c r="E74" t="s">
        <v>38</v>
      </c>
      <c r="F74" t="s">
        <v>24</v>
      </c>
      <c r="G74" t="s">
        <v>25</v>
      </c>
      <c r="H74">
        <v>2500</v>
      </c>
      <c r="I74">
        <v>5000</v>
      </c>
      <c r="J74">
        <v>3</v>
      </c>
      <c r="K74">
        <v>3123</v>
      </c>
      <c r="L74">
        <v>2538</v>
      </c>
      <c r="M74">
        <v>2460</v>
      </c>
      <c r="N74" t="s">
        <v>15</v>
      </c>
      <c r="O74">
        <v>0</v>
      </c>
      <c r="P74" t="s">
        <v>17</v>
      </c>
      <c r="Q74" s="3">
        <f>Query1[[#This Row],[program_name.test_cases.input.number_of_variables]]/H74</f>
        <v>0.98399999999999999</v>
      </c>
    </row>
    <row r="75" spans="1:17" x14ac:dyDescent="0.25">
      <c r="A75" t="s">
        <v>13</v>
      </c>
      <c r="B75" t="s">
        <v>26</v>
      </c>
      <c r="C75">
        <v>254.70716816600179</v>
      </c>
      <c r="D75">
        <v>8110080</v>
      </c>
      <c r="E75" t="s">
        <v>96</v>
      </c>
      <c r="F75" t="s">
        <v>24</v>
      </c>
      <c r="G75" t="s">
        <v>25</v>
      </c>
      <c r="H75">
        <v>2500</v>
      </c>
      <c r="I75">
        <v>7500</v>
      </c>
      <c r="J75">
        <v>4</v>
      </c>
      <c r="K75">
        <v>4713</v>
      </c>
      <c r="L75">
        <v>1893</v>
      </c>
      <c r="M75">
        <v>5603</v>
      </c>
      <c r="N75" t="s">
        <v>15</v>
      </c>
      <c r="O75">
        <v>0</v>
      </c>
      <c r="P75" t="s">
        <v>17</v>
      </c>
      <c r="Q75" s="6">
        <f>Query1[[#This Row],[program_name.test_cases.input.number_of_variables]]/Query1[[#This Row],[program_name.test_cases.input.number_of_functors]]</f>
        <v>2.9598520866349709</v>
      </c>
    </row>
    <row r="76" spans="1:17" x14ac:dyDescent="0.25">
      <c r="A76" t="s">
        <v>13</v>
      </c>
      <c r="B76" t="s">
        <v>26</v>
      </c>
      <c r="C76">
        <v>300.00684388098307</v>
      </c>
      <c r="D76">
        <v>9392128</v>
      </c>
      <c r="E76" t="s">
        <v>109</v>
      </c>
      <c r="F76" t="s">
        <v>24</v>
      </c>
      <c r="G76" t="s">
        <v>25</v>
      </c>
      <c r="H76">
        <v>2500</v>
      </c>
      <c r="I76">
        <v>10000</v>
      </c>
      <c r="J76">
        <v>6</v>
      </c>
      <c r="K76">
        <v>6276</v>
      </c>
      <c r="L76">
        <v>1998</v>
      </c>
      <c r="M76">
        <v>7992</v>
      </c>
      <c r="N76" t="s">
        <v>15</v>
      </c>
      <c r="P76" t="s">
        <v>16</v>
      </c>
      <c r="Q76" s="6">
        <f>Query1[[#This Row],[program_name.test_cases.input.number_of_variables]]/Query1[[#This Row],[program_name.test_cases.input.number_of_functors]]</f>
        <v>4</v>
      </c>
    </row>
    <row r="77" spans="1:17" x14ac:dyDescent="0.25">
      <c r="A77" t="s">
        <v>13</v>
      </c>
      <c r="B77" t="s">
        <v>26</v>
      </c>
      <c r="C77">
        <v>300.00670870195609</v>
      </c>
      <c r="D77">
        <v>10743808</v>
      </c>
      <c r="E77" t="s">
        <v>111</v>
      </c>
      <c r="F77" t="s">
        <v>24</v>
      </c>
      <c r="G77" t="s">
        <v>25</v>
      </c>
      <c r="H77">
        <v>2500</v>
      </c>
      <c r="I77">
        <v>12500</v>
      </c>
      <c r="J77">
        <v>8</v>
      </c>
      <c r="K77">
        <v>7835</v>
      </c>
      <c r="L77">
        <v>2087</v>
      </c>
      <c r="M77">
        <v>10401</v>
      </c>
      <c r="N77" t="s">
        <v>15</v>
      </c>
      <c r="P77" t="s">
        <v>16</v>
      </c>
      <c r="Q77" s="6">
        <f>Query1[[#This Row],[program_name.test_cases.input.number_of_variables]]/Query1[[#This Row],[program_name.test_cases.input.number_of_functors]]</f>
        <v>4.9837086727359843</v>
      </c>
    </row>
    <row r="78" spans="1:17" x14ac:dyDescent="0.25">
      <c r="A78" t="s">
        <v>13</v>
      </c>
      <c r="B78" t="s">
        <v>26</v>
      </c>
      <c r="C78">
        <v>300.00803259701934</v>
      </c>
      <c r="D78">
        <v>22474752</v>
      </c>
      <c r="E78" t="s">
        <v>60</v>
      </c>
      <c r="F78" t="s">
        <v>24</v>
      </c>
      <c r="G78" t="s">
        <v>25</v>
      </c>
      <c r="H78">
        <v>2500</v>
      </c>
      <c r="I78">
        <v>25000</v>
      </c>
      <c r="J78">
        <v>16</v>
      </c>
      <c r="K78">
        <v>15591</v>
      </c>
      <c r="L78">
        <v>2256</v>
      </c>
      <c r="M78">
        <v>22703</v>
      </c>
      <c r="N78" t="s">
        <v>15</v>
      </c>
      <c r="P78" t="s">
        <v>16</v>
      </c>
      <c r="Q78" s="6">
        <f>Query1[[#This Row],[program_name.test_cases.input.number_of_variables]]/Query1[[#This Row],[program_name.test_cases.input.number_of_functors]]</f>
        <v>10.063386524822695</v>
      </c>
    </row>
    <row r="79" spans="1:17" x14ac:dyDescent="0.25">
      <c r="A79" s="1" t="s">
        <v>13</v>
      </c>
      <c r="B79" s="1" t="s">
        <v>26</v>
      </c>
      <c r="C79" s="5">
        <v>300.00181950500701</v>
      </c>
      <c r="D79" s="3">
        <v>32628736</v>
      </c>
      <c r="E79" s="1" t="s">
        <v>62</v>
      </c>
      <c r="F79" s="1" t="s">
        <v>24</v>
      </c>
      <c r="G79" s="1" t="s">
        <v>25</v>
      </c>
      <c r="H79" s="1">
        <v>5000</v>
      </c>
      <c r="I79" s="2">
        <v>50000</v>
      </c>
      <c r="J79" s="2">
        <v>16</v>
      </c>
      <c r="K79" s="2">
        <v>31247</v>
      </c>
      <c r="L79" s="2">
        <v>45462</v>
      </c>
      <c r="M79" s="2">
        <v>4506</v>
      </c>
      <c r="N79" s="2" t="s">
        <v>15</v>
      </c>
      <c r="O79" s="1"/>
      <c r="P79" s="1" t="s">
        <v>16</v>
      </c>
      <c r="Q79" s="6">
        <f>Query1[[#This Row],[program_name.test_cases.input.number_of_variables]]/Query1[[#This Row],[program_name.test_cases.input.number_of_functors]]</f>
        <v>9.9115745017817072E-2</v>
      </c>
    </row>
    <row r="80" spans="1:17" hidden="1" x14ac:dyDescent="0.25">
      <c r="A80" s="1" t="s">
        <v>13</v>
      </c>
      <c r="B80" s="1" t="s">
        <v>14</v>
      </c>
      <c r="C80" s="5">
        <v>26.539349348982796</v>
      </c>
      <c r="D80" s="3">
        <v>6160384</v>
      </c>
      <c r="E80" s="1" t="s">
        <v>55</v>
      </c>
      <c r="F80" s="1" t="s">
        <v>24</v>
      </c>
      <c r="G80" s="1" t="s">
        <v>25</v>
      </c>
      <c r="H80" s="1">
        <v>500</v>
      </c>
      <c r="I80" s="2">
        <v>5000</v>
      </c>
      <c r="J80" s="2">
        <v>16</v>
      </c>
      <c r="K80" s="2">
        <v>3130</v>
      </c>
      <c r="L80" s="2">
        <v>2489</v>
      </c>
      <c r="M80" s="2">
        <v>2479</v>
      </c>
      <c r="N80" s="2" t="s">
        <v>15</v>
      </c>
      <c r="O80" s="1">
        <v>2</v>
      </c>
      <c r="P80" s="1" t="s">
        <v>18</v>
      </c>
      <c r="Q80" s="3">
        <f>Query1[[#This Row],[program_name.test_cases.input.number_of_variables]]/H80</f>
        <v>4.9580000000000002</v>
      </c>
    </row>
    <row r="81" spans="1:17" x14ac:dyDescent="0.25">
      <c r="A81" t="s">
        <v>13</v>
      </c>
      <c r="B81" t="s">
        <v>26</v>
      </c>
      <c r="C81">
        <v>300.00284531700891</v>
      </c>
      <c r="D81">
        <v>18591744</v>
      </c>
      <c r="E81" t="s">
        <v>113</v>
      </c>
      <c r="F81" t="s">
        <v>24</v>
      </c>
      <c r="G81" t="s">
        <v>25</v>
      </c>
      <c r="H81">
        <v>5000</v>
      </c>
      <c r="I81">
        <v>25000</v>
      </c>
      <c r="J81">
        <v>8</v>
      </c>
      <c r="K81">
        <v>15636</v>
      </c>
      <c r="L81">
        <v>20743</v>
      </c>
      <c r="M81">
        <v>4245</v>
      </c>
      <c r="N81" t="s">
        <v>15</v>
      </c>
      <c r="P81" t="s">
        <v>16</v>
      </c>
      <c r="Q81" s="6">
        <f>Query1[[#This Row],[program_name.test_cases.input.number_of_variables]]/Query1[[#This Row],[program_name.test_cases.input.number_of_functors]]</f>
        <v>0.2046473509135612</v>
      </c>
    </row>
    <row r="82" spans="1:17" x14ac:dyDescent="0.25">
      <c r="A82" t="s">
        <v>13</v>
      </c>
      <c r="B82" t="s">
        <v>26</v>
      </c>
      <c r="C82">
        <v>300.00381613901118</v>
      </c>
      <c r="D82">
        <v>15888384</v>
      </c>
      <c r="E82" t="s">
        <v>75</v>
      </c>
      <c r="F82" t="s">
        <v>24</v>
      </c>
      <c r="G82" t="s">
        <v>25</v>
      </c>
      <c r="H82">
        <v>5000</v>
      </c>
      <c r="I82">
        <v>20000</v>
      </c>
      <c r="J82">
        <v>6</v>
      </c>
      <c r="K82">
        <v>12544</v>
      </c>
      <c r="L82">
        <v>15979</v>
      </c>
      <c r="M82">
        <v>4016</v>
      </c>
      <c r="N82" t="s">
        <v>15</v>
      </c>
      <c r="P82" t="s">
        <v>16</v>
      </c>
      <c r="Q82" s="6">
        <f>Query1[[#This Row],[program_name.test_cases.input.number_of_variables]]/Query1[[#This Row],[program_name.test_cases.input.number_of_functors]]</f>
        <v>0.25132987045497213</v>
      </c>
    </row>
    <row r="83" spans="1:17" x14ac:dyDescent="0.25">
      <c r="A83" s="1" t="s">
        <v>13</v>
      </c>
      <c r="B83" s="1" t="s">
        <v>26</v>
      </c>
      <c r="C83" s="5">
        <v>300.00421523296973</v>
      </c>
      <c r="D83" s="3">
        <v>12668928</v>
      </c>
      <c r="E83" s="1" t="s">
        <v>115</v>
      </c>
      <c r="F83" s="1" t="s">
        <v>24</v>
      </c>
      <c r="G83" s="1" t="s">
        <v>25</v>
      </c>
      <c r="H83" s="1">
        <v>5000</v>
      </c>
      <c r="I83" s="2">
        <v>15000</v>
      </c>
      <c r="J83" s="2">
        <v>4</v>
      </c>
      <c r="K83" s="2">
        <v>9306</v>
      </c>
      <c r="L83" s="2">
        <v>11178</v>
      </c>
      <c r="M83" s="2">
        <v>3818</v>
      </c>
      <c r="N83" s="2" t="s">
        <v>15</v>
      </c>
      <c r="O83" s="1"/>
      <c r="P83" s="1" t="s">
        <v>16</v>
      </c>
      <c r="Q83" s="6">
        <f>Query1[[#This Row],[program_name.test_cases.input.number_of_variables]]/Query1[[#This Row],[program_name.test_cases.input.number_of_functors]]</f>
        <v>0.34156378600823045</v>
      </c>
    </row>
    <row r="84" spans="1:17" x14ac:dyDescent="0.25">
      <c r="A84" s="1" t="s">
        <v>13</v>
      </c>
      <c r="B84" s="1" t="s">
        <v>26</v>
      </c>
      <c r="C84" s="5">
        <v>300.00013261398999</v>
      </c>
      <c r="D84" s="3">
        <v>10002432</v>
      </c>
      <c r="E84" s="1" t="s">
        <v>106</v>
      </c>
      <c r="F84" s="1" t="s">
        <v>24</v>
      </c>
      <c r="G84" s="1" t="s">
        <v>25</v>
      </c>
      <c r="H84" s="1">
        <v>5000</v>
      </c>
      <c r="I84" s="2">
        <v>10000</v>
      </c>
      <c r="J84" s="2">
        <v>3</v>
      </c>
      <c r="K84" s="2">
        <v>6251</v>
      </c>
      <c r="L84" s="2">
        <v>6615</v>
      </c>
      <c r="M84" s="2">
        <v>3383</v>
      </c>
      <c r="N84" s="2" t="s">
        <v>15</v>
      </c>
      <c r="O84" s="1"/>
      <c r="P84" s="1" t="s">
        <v>16</v>
      </c>
      <c r="Q84" s="6">
        <f>Query1[[#This Row],[program_name.test_cases.input.number_of_variables]]/Query1[[#This Row],[program_name.test_cases.input.number_of_functors]]</f>
        <v>0.51141345427059715</v>
      </c>
    </row>
    <row r="85" spans="1:17" hidden="1" x14ac:dyDescent="0.25">
      <c r="A85" t="s">
        <v>13</v>
      </c>
      <c r="B85" t="s">
        <v>14</v>
      </c>
      <c r="C85">
        <v>265.69005256699165</v>
      </c>
      <c r="D85">
        <v>8151040</v>
      </c>
      <c r="E85" t="s">
        <v>43</v>
      </c>
      <c r="F85" t="s">
        <v>24</v>
      </c>
      <c r="G85" t="s">
        <v>25</v>
      </c>
      <c r="H85">
        <v>2500</v>
      </c>
      <c r="I85">
        <v>7500</v>
      </c>
      <c r="J85">
        <v>4</v>
      </c>
      <c r="K85">
        <v>4653</v>
      </c>
      <c r="L85">
        <v>3774</v>
      </c>
      <c r="M85">
        <v>3720</v>
      </c>
      <c r="N85" t="s">
        <v>15</v>
      </c>
      <c r="O85">
        <v>0</v>
      </c>
      <c r="P85" t="s">
        <v>17</v>
      </c>
      <c r="Q85" s="3">
        <f>Query1[[#This Row],[program_name.test_cases.input.number_of_variables]]/H85</f>
        <v>1.488</v>
      </c>
    </row>
    <row r="86" spans="1:17" x14ac:dyDescent="0.25">
      <c r="A86" t="s">
        <v>13</v>
      </c>
      <c r="B86" t="s">
        <v>26</v>
      </c>
      <c r="C86">
        <v>300.0072406239924</v>
      </c>
      <c r="D86">
        <v>12931072</v>
      </c>
      <c r="E86" t="s">
        <v>67</v>
      </c>
      <c r="F86" t="s">
        <v>24</v>
      </c>
      <c r="G86" t="s">
        <v>25</v>
      </c>
      <c r="H86">
        <v>5000</v>
      </c>
      <c r="I86">
        <v>15000</v>
      </c>
      <c r="J86">
        <v>4</v>
      </c>
      <c r="K86">
        <v>9405</v>
      </c>
      <c r="L86">
        <v>3780</v>
      </c>
      <c r="M86">
        <v>11218</v>
      </c>
      <c r="N86" t="s">
        <v>15</v>
      </c>
      <c r="P86" t="s">
        <v>16</v>
      </c>
      <c r="Q86" s="6">
        <f>Query1[[#This Row],[program_name.test_cases.input.number_of_variables]]/Query1[[#This Row],[program_name.test_cases.input.number_of_functors]]</f>
        <v>2.9677248677248675</v>
      </c>
    </row>
    <row r="87" spans="1:17" x14ac:dyDescent="0.25">
      <c r="A87" s="1" t="s">
        <v>13</v>
      </c>
      <c r="B87" s="1" t="s">
        <v>26</v>
      </c>
      <c r="C87" s="5">
        <v>300.0076132909744</v>
      </c>
      <c r="D87" s="3">
        <v>19271680</v>
      </c>
      <c r="E87" s="1" t="s">
        <v>58</v>
      </c>
      <c r="F87" s="1" t="s">
        <v>24</v>
      </c>
      <c r="G87" s="1" t="s">
        <v>25</v>
      </c>
      <c r="H87" s="1">
        <v>5000</v>
      </c>
      <c r="I87" s="2">
        <v>20000</v>
      </c>
      <c r="J87" s="2">
        <v>6</v>
      </c>
      <c r="K87" s="2">
        <v>12515</v>
      </c>
      <c r="L87" s="2">
        <v>4075</v>
      </c>
      <c r="M87" s="2">
        <v>15916</v>
      </c>
      <c r="N87" s="2" t="s">
        <v>15</v>
      </c>
      <c r="O87" s="1"/>
      <c r="P87" s="1" t="s">
        <v>16</v>
      </c>
      <c r="Q87" s="6">
        <f>Query1[[#This Row],[program_name.test_cases.input.number_of_variables]]/Query1[[#This Row],[program_name.test_cases.input.number_of_functors]]</f>
        <v>3.9057668711656444</v>
      </c>
    </row>
    <row r="88" spans="1:17" x14ac:dyDescent="0.25">
      <c r="A88" t="s">
        <v>13</v>
      </c>
      <c r="B88" t="s">
        <v>26</v>
      </c>
      <c r="C88">
        <v>300.00024243001826</v>
      </c>
      <c r="D88">
        <v>18776064</v>
      </c>
      <c r="E88" t="s">
        <v>102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15541</v>
      </c>
      <c r="L88">
        <v>4113</v>
      </c>
      <c r="M88">
        <v>20873</v>
      </c>
      <c r="N88" t="s">
        <v>15</v>
      </c>
      <c r="P88" t="s">
        <v>16</v>
      </c>
      <c r="Q88" s="6">
        <f>Query1[[#This Row],[program_name.test_cases.input.number_of_variables]]/Query1[[#This Row],[program_name.test_cases.input.number_of_functors]]</f>
        <v>5.0748845125212743</v>
      </c>
    </row>
    <row r="89" spans="1:17" hidden="1" x14ac:dyDescent="0.25">
      <c r="A89" t="s">
        <v>13</v>
      </c>
      <c r="B89" t="s">
        <v>14</v>
      </c>
      <c r="C89">
        <v>242.35224190796723</v>
      </c>
      <c r="D89">
        <v>9142272</v>
      </c>
      <c r="E89" t="s">
        <v>28</v>
      </c>
      <c r="F89" t="s">
        <v>24</v>
      </c>
      <c r="G89" t="s">
        <v>25</v>
      </c>
      <c r="H89">
        <v>1000</v>
      </c>
      <c r="I89">
        <v>10000</v>
      </c>
      <c r="J89">
        <v>16</v>
      </c>
      <c r="K89">
        <v>6221</v>
      </c>
      <c r="L89">
        <v>5012</v>
      </c>
      <c r="M89">
        <v>4945</v>
      </c>
      <c r="N89" t="s">
        <v>15</v>
      </c>
      <c r="O89">
        <v>2</v>
      </c>
      <c r="P89" t="s">
        <v>18</v>
      </c>
      <c r="Q89" s="3">
        <f>Query1[[#This Row],[program_name.test_cases.input.number_of_variables]]/H89</f>
        <v>4.9450000000000003</v>
      </c>
    </row>
    <row r="90" spans="1:17" x14ac:dyDescent="0.25">
      <c r="A90" s="1" t="s">
        <v>13</v>
      </c>
      <c r="B90" s="1" t="s">
        <v>26</v>
      </c>
      <c r="C90" s="5">
        <v>300.00356736197136</v>
      </c>
      <c r="D90" s="3">
        <v>32555008</v>
      </c>
      <c r="E90" s="1" t="s">
        <v>88</v>
      </c>
      <c r="F90" s="1" t="s">
        <v>24</v>
      </c>
      <c r="G90" s="1" t="s">
        <v>25</v>
      </c>
      <c r="H90" s="1">
        <v>5000</v>
      </c>
      <c r="I90" s="2">
        <v>50000</v>
      </c>
      <c r="J90" s="2">
        <v>16</v>
      </c>
      <c r="K90" s="2">
        <v>31172</v>
      </c>
      <c r="L90" s="2">
        <v>4616</v>
      </c>
      <c r="M90" s="2">
        <v>45331</v>
      </c>
      <c r="N90" s="2" t="s">
        <v>15</v>
      </c>
      <c r="O90" s="1"/>
      <c r="P90" s="1" t="s">
        <v>16</v>
      </c>
      <c r="Q90" s="6">
        <f>Query1[[#This Row],[program_name.test_cases.input.number_of_variables]]/Query1[[#This Row],[program_name.test_cases.input.number_of_functors]]</f>
        <v>9.8204072790294621</v>
      </c>
    </row>
    <row r="91" spans="1:17" x14ac:dyDescent="0.25">
      <c r="A91" t="s">
        <v>13</v>
      </c>
      <c r="B91" t="s">
        <v>26</v>
      </c>
      <c r="C91">
        <v>300.0061496499693</v>
      </c>
      <c r="D91">
        <v>9961472</v>
      </c>
      <c r="E91" t="s">
        <v>116</v>
      </c>
      <c r="F91" t="s">
        <v>24</v>
      </c>
      <c r="G91" t="s">
        <v>25</v>
      </c>
      <c r="H91">
        <v>5000</v>
      </c>
      <c r="I91">
        <v>10000</v>
      </c>
      <c r="J91">
        <v>3</v>
      </c>
      <c r="K91">
        <v>6295</v>
      </c>
      <c r="L91">
        <v>3360</v>
      </c>
      <c r="M91">
        <v>6636</v>
      </c>
      <c r="N91" t="s">
        <v>15</v>
      </c>
      <c r="P91" t="s">
        <v>16</v>
      </c>
    </row>
    <row r="92" spans="1:17" x14ac:dyDescent="0.25">
      <c r="I92" s="3"/>
      <c r="J92" s="3"/>
      <c r="K92" s="3"/>
      <c r="L92" s="3"/>
      <c r="M92" s="3"/>
      <c r="Q92" s="3"/>
    </row>
    <row r="93" spans="1:17" x14ac:dyDescent="0.25">
      <c r="Q93" s="1"/>
    </row>
    <row r="94" spans="1:17" x14ac:dyDescent="0.25">
      <c r="Q94" s="1"/>
    </row>
    <row r="95" spans="1:17" x14ac:dyDescent="0.25">
      <c r="Q95" s="1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_new">
                <anchor moveWithCells="1" sizeWithCells="1">
                  <from>
                    <xdr:col>12</xdr:col>
                    <xdr:colOff>133350</xdr:colOff>
                    <xdr:row>96</xdr:row>
                    <xdr:rowOff>95250</xdr:rowOff>
                  </from>
                  <to>
                    <xdr:col>12</xdr:col>
                    <xdr:colOff>3019425</xdr:colOff>
                    <xdr:row>101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21"/>
  <sheetViews>
    <sheetView zoomScale="160" zoomScaleNormal="160" workbookViewId="0">
      <selection activeCell="B13" sqref="B13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118</v>
      </c>
    </row>
    <row r="2" spans="1:17" x14ac:dyDescent="0.25">
      <c r="A2" t="s">
        <v>19</v>
      </c>
      <c r="B2" t="s">
        <v>117</v>
      </c>
      <c r="C2">
        <v>0.35161383601371199</v>
      </c>
      <c r="D2">
        <v>62070784</v>
      </c>
      <c r="E2" t="s">
        <v>86</v>
      </c>
      <c r="F2" t="s">
        <v>24</v>
      </c>
      <c r="G2" t="s">
        <v>25</v>
      </c>
      <c r="H2">
        <v>100</v>
      </c>
      <c r="I2">
        <v>1000</v>
      </c>
      <c r="J2">
        <v>16</v>
      </c>
      <c r="K2">
        <v>635</v>
      </c>
      <c r="L2">
        <v>896</v>
      </c>
      <c r="M2">
        <v>86</v>
      </c>
      <c r="N2" t="s">
        <v>15</v>
      </c>
      <c r="O2">
        <v>0</v>
      </c>
      <c r="P2" t="s">
        <v>17</v>
      </c>
      <c r="Q2" s="6">
        <f>Query13[[#This Row],[program_name.test_cases.input.number_of_variables]]/Query13[[#This Row],[program_name.test_cases.input.number_of_functors]]</f>
        <v>9.5982142857142863E-2</v>
      </c>
    </row>
    <row r="3" spans="1:17" x14ac:dyDescent="0.25">
      <c r="A3" t="s">
        <v>19</v>
      </c>
      <c r="B3" t="s">
        <v>117</v>
      </c>
      <c r="C3">
        <v>0.10444044502219184</v>
      </c>
      <c r="D3">
        <v>61075456</v>
      </c>
      <c r="E3" t="s">
        <v>84</v>
      </c>
      <c r="F3" t="s">
        <v>24</v>
      </c>
      <c r="G3" t="s">
        <v>25</v>
      </c>
      <c r="H3">
        <v>100</v>
      </c>
      <c r="I3">
        <v>500</v>
      </c>
      <c r="J3">
        <v>8</v>
      </c>
      <c r="K3">
        <v>315</v>
      </c>
      <c r="L3">
        <v>406</v>
      </c>
      <c r="M3">
        <v>85</v>
      </c>
      <c r="N3" t="s">
        <v>15</v>
      </c>
      <c r="O3">
        <v>0</v>
      </c>
      <c r="P3" t="s">
        <v>17</v>
      </c>
      <c r="Q3" s="6">
        <f>Query13[[#This Row],[program_name.test_cases.input.number_of_variables]]/Query13[[#This Row],[program_name.test_cases.input.number_of_functors]]</f>
        <v>0.20935960591133004</v>
      </c>
    </row>
    <row r="4" spans="1:17" hidden="1" x14ac:dyDescent="0.25">
      <c r="A4" s="1" t="s">
        <v>19</v>
      </c>
      <c r="B4" s="1" t="s">
        <v>20</v>
      </c>
      <c r="C4" s="4">
        <v>4.2658476973883808E-2</v>
      </c>
      <c r="D4" s="3">
        <v>60862464</v>
      </c>
      <c r="E4" s="1" t="s">
        <v>27</v>
      </c>
      <c r="F4" s="1" t="s">
        <v>24</v>
      </c>
      <c r="G4" s="1" t="s">
        <v>25</v>
      </c>
      <c r="H4" s="1">
        <v>100</v>
      </c>
      <c r="I4" s="1">
        <v>200</v>
      </c>
      <c r="J4" s="1">
        <v>3</v>
      </c>
      <c r="K4" s="1">
        <v>127</v>
      </c>
      <c r="L4" s="1">
        <v>93</v>
      </c>
      <c r="M4" s="1">
        <v>103</v>
      </c>
      <c r="N4" s="1" t="s">
        <v>15</v>
      </c>
      <c r="O4" s="1">
        <v>0</v>
      </c>
      <c r="P4" s="1" t="s">
        <v>17</v>
      </c>
      <c r="Q4" s="3">
        <f>Query13[[#This Row],[program_name.test_cases.input.number_of_variables]]/Query13[[#This Row],[program_name.test_cases.input.number_of_functors]]</f>
        <v>1.10752688172043</v>
      </c>
    </row>
    <row r="5" spans="1:17" hidden="1" x14ac:dyDescent="0.25">
      <c r="A5" s="1" t="s">
        <v>19</v>
      </c>
      <c r="B5" s="1" t="s">
        <v>20</v>
      </c>
      <c r="C5" s="4">
        <v>5.2942360984161496E-2</v>
      </c>
      <c r="D5" s="3">
        <v>60911616</v>
      </c>
      <c r="E5" s="1" t="s">
        <v>44</v>
      </c>
      <c r="F5" s="1" t="s">
        <v>24</v>
      </c>
      <c r="G5" s="1" t="s">
        <v>25</v>
      </c>
      <c r="H5" s="1">
        <v>100</v>
      </c>
      <c r="I5" s="1">
        <v>300</v>
      </c>
      <c r="J5" s="1">
        <v>4</v>
      </c>
      <c r="K5" s="1">
        <v>188</v>
      </c>
      <c r="L5" s="1">
        <v>147</v>
      </c>
      <c r="M5" s="1">
        <v>149</v>
      </c>
      <c r="N5" s="1" t="s">
        <v>15</v>
      </c>
      <c r="O5" s="1">
        <v>0</v>
      </c>
      <c r="P5" s="1" t="s">
        <v>17</v>
      </c>
      <c r="Q5" s="3">
        <f>Query13[[#This Row],[program_name.test_cases.input.number_of_variables]]/Query13[[#This Row],[program_name.test_cases.input.number_of_functors]]</f>
        <v>1.0136054421768708</v>
      </c>
    </row>
    <row r="6" spans="1:17" x14ac:dyDescent="0.25">
      <c r="A6" t="s">
        <v>19</v>
      </c>
      <c r="B6" t="s">
        <v>117</v>
      </c>
      <c r="C6">
        <v>6.3173143949825317E-2</v>
      </c>
      <c r="D6">
        <v>61284352</v>
      </c>
      <c r="E6" t="s">
        <v>87</v>
      </c>
      <c r="F6" t="s">
        <v>24</v>
      </c>
      <c r="G6" t="s">
        <v>25</v>
      </c>
      <c r="H6">
        <v>100</v>
      </c>
      <c r="I6">
        <v>400</v>
      </c>
      <c r="J6">
        <v>6</v>
      </c>
      <c r="K6">
        <v>258</v>
      </c>
      <c r="L6">
        <v>318</v>
      </c>
      <c r="M6">
        <v>81</v>
      </c>
      <c r="N6" t="s">
        <v>15</v>
      </c>
      <c r="O6">
        <v>0</v>
      </c>
      <c r="P6" t="s">
        <v>17</v>
      </c>
      <c r="Q6" s="6">
        <f>Query13[[#This Row],[program_name.test_cases.input.number_of_variables]]/Query13[[#This Row],[program_name.test_cases.input.number_of_functors]]</f>
        <v>0.25471698113207547</v>
      </c>
    </row>
    <row r="7" spans="1:17" x14ac:dyDescent="0.25">
      <c r="A7" t="s">
        <v>19</v>
      </c>
      <c r="B7" t="s">
        <v>117</v>
      </c>
      <c r="C7">
        <v>6.4323999977204949E-2</v>
      </c>
      <c r="D7">
        <v>61095936</v>
      </c>
      <c r="E7" t="s">
        <v>99</v>
      </c>
      <c r="F7" t="s">
        <v>24</v>
      </c>
      <c r="G7" t="s">
        <v>25</v>
      </c>
      <c r="H7">
        <v>100</v>
      </c>
      <c r="I7">
        <v>300</v>
      </c>
      <c r="J7">
        <v>4</v>
      </c>
      <c r="K7">
        <v>195</v>
      </c>
      <c r="L7">
        <v>213</v>
      </c>
      <c r="M7">
        <v>85</v>
      </c>
      <c r="N7" t="s">
        <v>15</v>
      </c>
      <c r="O7">
        <v>0</v>
      </c>
      <c r="P7" t="s">
        <v>17</v>
      </c>
      <c r="Q7" s="6">
        <f>Query13[[#This Row],[program_name.test_cases.input.number_of_variables]]/Query13[[#This Row],[program_name.test_cases.input.number_of_functors]]</f>
        <v>0.39906103286384975</v>
      </c>
    </row>
    <row r="8" spans="1:17" hidden="1" x14ac:dyDescent="0.25">
      <c r="A8" s="1" t="s">
        <v>19</v>
      </c>
      <c r="B8" s="1" t="s">
        <v>20</v>
      </c>
      <c r="C8" s="4">
        <v>300.005865264975</v>
      </c>
      <c r="D8" s="3">
        <v>84111360</v>
      </c>
      <c r="E8" s="1" t="s">
        <v>33</v>
      </c>
      <c r="F8" s="1" t="s">
        <v>24</v>
      </c>
      <c r="G8" s="1" t="s">
        <v>25</v>
      </c>
      <c r="H8" s="1">
        <v>5000</v>
      </c>
      <c r="I8" s="1">
        <v>25000</v>
      </c>
      <c r="J8" s="1">
        <v>8</v>
      </c>
      <c r="K8" s="1">
        <v>15658</v>
      </c>
      <c r="L8" s="1">
        <v>12546</v>
      </c>
      <c r="M8" s="1">
        <v>12433</v>
      </c>
      <c r="N8" s="1" t="s">
        <v>15</v>
      </c>
      <c r="O8" s="1"/>
      <c r="P8" s="1" t="s">
        <v>16</v>
      </c>
      <c r="Q8" s="2">
        <f>Query13[[#This Row],[program_name.test_cases.input.number_of_variables]]/H8</f>
        <v>2.4866000000000001</v>
      </c>
    </row>
    <row r="9" spans="1:17" hidden="1" x14ac:dyDescent="0.25">
      <c r="A9" s="1" t="s">
        <v>19</v>
      </c>
      <c r="B9" s="1" t="s">
        <v>20</v>
      </c>
      <c r="C9" s="4">
        <v>6.3305624003987759E-2</v>
      </c>
      <c r="D9" s="3">
        <v>61390848</v>
      </c>
      <c r="E9" s="1" t="s">
        <v>36</v>
      </c>
      <c r="F9" s="1" t="s">
        <v>24</v>
      </c>
      <c r="G9" s="1" t="s">
        <v>25</v>
      </c>
      <c r="H9" s="1">
        <v>200</v>
      </c>
      <c r="I9" s="1">
        <v>400</v>
      </c>
      <c r="J9" s="1">
        <v>3</v>
      </c>
      <c r="K9" s="1">
        <v>263</v>
      </c>
      <c r="L9" s="1">
        <v>211</v>
      </c>
      <c r="M9" s="1">
        <v>187</v>
      </c>
      <c r="N9" s="1" t="s">
        <v>15</v>
      </c>
      <c r="O9" s="1">
        <v>0</v>
      </c>
      <c r="P9" s="1" t="s">
        <v>17</v>
      </c>
      <c r="Q9" s="3">
        <f>Query13[[#This Row],[program_name.test_cases.input.number_of_variables]]/Query13[[#This Row],[program_name.test_cases.input.number_of_functors]]</f>
        <v>0.88625592417061616</v>
      </c>
    </row>
    <row r="10" spans="1:17" x14ac:dyDescent="0.25">
      <c r="A10" t="s">
        <v>19</v>
      </c>
      <c r="B10" t="s">
        <v>117</v>
      </c>
      <c r="C10">
        <v>4.2610136966686696E-2</v>
      </c>
      <c r="D10">
        <v>60747776</v>
      </c>
      <c r="E10" t="s">
        <v>82</v>
      </c>
      <c r="F10" t="s">
        <v>24</v>
      </c>
      <c r="G10" t="s">
        <v>25</v>
      </c>
      <c r="H10">
        <v>100</v>
      </c>
      <c r="I10">
        <v>200</v>
      </c>
      <c r="J10">
        <v>3</v>
      </c>
      <c r="K10">
        <v>127</v>
      </c>
      <c r="L10">
        <v>133</v>
      </c>
      <c r="M10">
        <v>65</v>
      </c>
      <c r="N10" t="s">
        <v>15</v>
      </c>
      <c r="O10">
        <v>0</v>
      </c>
      <c r="P10" t="s">
        <v>17</v>
      </c>
      <c r="Q10" s="6">
        <f>Query13[[#This Row],[program_name.test_cases.input.number_of_variables]]/Query13[[#This Row],[program_name.test_cases.input.number_of_functors]]</f>
        <v>0.48872180451127817</v>
      </c>
    </row>
    <row r="11" spans="1:17" x14ac:dyDescent="0.25">
      <c r="A11" t="s">
        <v>19</v>
      </c>
      <c r="B11" t="s">
        <v>117</v>
      </c>
      <c r="C11">
        <v>4.2608834977727383E-2</v>
      </c>
      <c r="D11">
        <v>60899328</v>
      </c>
      <c r="E11" t="s">
        <v>98</v>
      </c>
      <c r="F11" t="s">
        <v>24</v>
      </c>
      <c r="G11" t="s">
        <v>25</v>
      </c>
      <c r="H11">
        <v>100</v>
      </c>
      <c r="I11">
        <v>200</v>
      </c>
      <c r="J11">
        <v>3</v>
      </c>
      <c r="K11">
        <v>122</v>
      </c>
      <c r="L11">
        <v>66</v>
      </c>
      <c r="M11">
        <v>133</v>
      </c>
      <c r="N11" t="s">
        <v>15</v>
      </c>
      <c r="O11">
        <v>0</v>
      </c>
      <c r="P11" t="s">
        <v>17</v>
      </c>
      <c r="Q11" s="6">
        <f>Query13[[#This Row],[program_name.test_cases.input.number_of_variables]]/Query13[[#This Row],[program_name.test_cases.input.number_of_functors]]</f>
        <v>2.0151515151515151</v>
      </c>
    </row>
    <row r="12" spans="1:17" x14ac:dyDescent="0.25">
      <c r="A12" t="s">
        <v>19</v>
      </c>
      <c r="B12" t="s">
        <v>117</v>
      </c>
      <c r="C12">
        <v>5.3165582998190075E-2</v>
      </c>
      <c r="D12">
        <v>60928000</v>
      </c>
      <c r="E12" t="s">
        <v>77</v>
      </c>
      <c r="F12" t="s">
        <v>24</v>
      </c>
      <c r="G12" t="s">
        <v>25</v>
      </c>
      <c r="H12">
        <v>100</v>
      </c>
      <c r="I12">
        <v>300</v>
      </c>
      <c r="J12">
        <v>4</v>
      </c>
      <c r="K12">
        <v>190</v>
      </c>
      <c r="L12">
        <v>78</v>
      </c>
      <c r="M12">
        <v>221</v>
      </c>
      <c r="N12" t="s">
        <v>15</v>
      </c>
      <c r="O12">
        <v>0</v>
      </c>
      <c r="P12" t="s">
        <v>17</v>
      </c>
      <c r="Q12" s="6">
        <f>Query13[[#This Row],[program_name.test_cases.input.number_of_variables]]/Query13[[#This Row],[program_name.test_cases.input.number_of_functors]]</f>
        <v>2.8333333333333335</v>
      </c>
    </row>
    <row r="13" spans="1:17" x14ac:dyDescent="0.25">
      <c r="A13" t="s">
        <v>19</v>
      </c>
      <c r="B13" t="s">
        <v>117</v>
      </c>
      <c r="C13">
        <v>6.3442180980928242E-2</v>
      </c>
      <c r="D13">
        <v>61198336</v>
      </c>
      <c r="E13" t="s">
        <v>66</v>
      </c>
      <c r="F13" t="s">
        <v>24</v>
      </c>
      <c r="G13" t="s">
        <v>25</v>
      </c>
      <c r="H13">
        <v>100</v>
      </c>
      <c r="I13">
        <v>400</v>
      </c>
      <c r="J13">
        <v>6</v>
      </c>
      <c r="K13">
        <v>248</v>
      </c>
      <c r="L13">
        <v>77</v>
      </c>
      <c r="M13">
        <v>319</v>
      </c>
      <c r="N13" t="s">
        <v>15</v>
      </c>
      <c r="O13">
        <v>0</v>
      </c>
      <c r="P13" t="s">
        <v>17</v>
      </c>
      <c r="Q13" s="6">
        <f>Query13[[#This Row],[program_name.test_cases.input.number_of_variables]]/Query13[[#This Row],[program_name.test_cases.input.number_of_functors]]</f>
        <v>4.1428571428571432</v>
      </c>
    </row>
    <row r="14" spans="1:17" hidden="1" x14ac:dyDescent="0.25">
      <c r="A14" s="1" t="s">
        <v>19</v>
      </c>
      <c r="B14" s="1" t="s">
        <v>20</v>
      </c>
      <c r="C14" s="4">
        <v>7.35593709978275E-2</v>
      </c>
      <c r="D14" s="3">
        <v>61202432</v>
      </c>
      <c r="E14" s="1" t="s">
        <v>37</v>
      </c>
      <c r="F14" s="1" t="s">
        <v>24</v>
      </c>
      <c r="G14" s="1" t="s">
        <v>25</v>
      </c>
      <c r="H14" s="1">
        <v>100</v>
      </c>
      <c r="I14" s="1">
        <v>400</v>
      </c>
      <c r="J14" s="1">
        <v>6</v>
      </c>
      <c r="K14" s="1">
        <v>247</v>
      </c>
      <c r="L14" s="1">
        <v>191</v>
      </c>
      <c r="M14" s="1">
        <v>200</v>
      </c>
      <c r="N14" s="1" t="s">
        <v>15</v>
      </c>
      <c r="O14" s="1">
        <v>0</v>
      </c>
      <c r="P14" s="1" t="s">
        <v>17</v>
      </c>
      <c r="Q14" s="3">
        <f>Query13[[#This Row],[program_name.test_cases.input.number_of_variables]]/Query13[[#This Row],[program_name.test_cases.input.number_of_functors]]</f>
        <v>1.0471204188481675</v>
      </c>
    </row>
    <row r="15" spans="1:17" hidden="1" x14ac:dyDescent="0.25">
      <c r="A15" s="1" t="s">
        <v>19</v>
      </c>
      <c r="B15" s="1" t="s">
        <v>20</v>
      </c>
      <c r="C15" s="4">
        <v>300.00342338898918</v>
      </c>
      <c r="D15" s="3">
        <v>80662528</v>
      </c>
      <c r="E15" s="1" t="s">
        <v>40</v>
      </c>
      <c r="F15" s="1" t="s">
        <v>24</v>
      </c>
      <c r="G15" s="1" t="s">
        <v>25</v>
      </c>
      <c r="H15" s="1">
        <v>5000</v>
      </c>
      <c r="I15" s="1">
        <v>20000</v>
      </c>
      <c r="J15" s="1">
        <v>6</v>
      </c>
      <c r="K15" s="1">
        <v>12526</v>
      </c>
      <c r="L15" s="1">
        <v>10009</v>
      </c>
      <c r="M15" s="1">
        <v>9979</v>
      </c>
      <c r="N15" s="1" t="s">
        <v>15</v>
      </c>
      <c r="O15" s="1"/>
      <c r="P15" s="1" t="s">
        <v>16</v>
      </c>
      <c r="Q15" s="2">
        <f>Query13[[#This Row],[program_name.test_cases.input.number_of_variables]]/H15</f>
        <v>1.9958</v>
      </c>
    </row>
    <row r="16" spans="1:17" x14ac:dyDescent="0.25">
      <c r="A16" t="s">
        <v>19</v>
      </c>
      <c r="B16" t="s">
        <v>117</v>
      </c>
      <c r="C16">
        <v>7.3679360968526453E-2</v>
      </c>
      <c r="D16">
        <v>61386752</v>
      </c>
      <c r="E16" t="s">
        <v>97</v>
      </c>
      <c r="F16" t="s">
        <v>24</v>
      </c>
      <c r="G16" t="s">
        <v>25</v>
      </c>
      <c r="H16">
        <v>100</v>
      </c>
      <c r="I16">
        <v>500</v>
      </c>
      <c r="J16">
        <v>8</v>
      </c>
      <c r="K16">
        <v>320</v>
      </c>
      <c r="L16">
        <v>73</v>
      </c>
      <c r="M16">
        <v>414</v>
      </c>
      <c r="N16" t="s">
        <v>15</v>
      </c>
      <c r="O16">
        <v>0</v>
      </c>
      <c r="P16" t="s">
        <v>17</v>
      </c>
      <c r="Q16" s="6">
        <f>Query13[[#This Row],[program_name.test_cases.input.number_of_variables]]/Query13[[#This Row],[program_name.test_cases.input.number_of_functors]]</f>
        <v>5.6712328767123283</v>
      </c>
    </row>
    <row r="17" spans="1:17" x14ac:dyDescent="0.25">
      <c r="A17" t="s">
        <v>19</v>
      </c>
      <c r="B17" t="s">
        <v>117</v>
      </c>
      <c r="C17">
        <v>0.18695561599452049</v>
      </c>
      <c r="D17">
        <v>61857792</v>
      </c>
      <c r="E17" t="s">
        <v>83</v>
      </c>
      <c r="F17" t="s">
        <v>24</v>
      </c>
      <c r="G17" t="s">
        <v>25</v>
      </c>
      <c r="H17">
        <v>100</v>
      </c>
      <c r="I17">
        <v>1000</v>
      </c>
      <c r="J17">
        <v>16</v>
      </c>
      <c r="K17">
        <v>617</v>
      </c>
      <c r="L17">
        <v>82</v>
      </c>
      <c r="M17">
        <v>897</v>
      </c>
      <c r="N17" t="s">
        <v>15</v>
      </c>
      <c r="O17">
        <v>0</v>
      </c>
      <c r="P17" t="s">
        <v>17</v>
      </c>
      <c r="Q17" s="6">
        <f>Query13[[#This Row],[program_name.test_cases.input.number_of_variables]]/Query13[[#This Row],[program_name.test_cases.input.number_of_functors]]</f>
        <v>10.939024390243903</v>
      </c>
    </row>
    <row r="18" spans="1:17" hidden="1" x14ac:dyDescent="0.25">
      <c r="A18" s="1" t="s">
        <v>19</v>
      </c>
      <c r="B18" s="1" t="s">
        <v>20</v>
      </c>
      <c r="C18" s="1">
        <v>9.4451852957718074E-2</v>
      </c>
      <c r="D18" s="1">
        <v>61059072</v>
      </c>
      <c r="E18" s="1" t="s">
        <v>50</v>
      </c>
      <c r="F18" s="1" t="s">
        <v>24</v>
      </c>
      <c r="G18" s="1" t="s">
        <v>25</v>
      </c>
      <c r="H18" s="1">
        <v>100</v>
      </c>
      <c r="I18" s="1">
        <v>500</v>
      </c>
      <c r="J18" s="1">
        <v>8</v>
      </c>
      <c r="K18" s="1">
        <v>316</v>
      </c>
      <c r="L18" s="1">
        <v>243</v>
      </c>
      <c r="M18" s="1">
        <v>249</v>
      </c>
      <c r="N18" s="1" t="s">
        <v>15</v>
      </c>
      <c r="O18" s="1">
        <v>0</v>
      </c>
      <c r="P18" s="1" t="s">
        <v>17</v>
      </c>
      <c r="Q18" s="3">
        <f>Query13[[#This Row],[program_name.test_cases.input.number_of_variables]]/Query13[[#This Row],[program_name.test_cases.input.number_of_functors]]</f>
        <v>1.0246913580246915</v>
      </c>
    </row>
    <row r="19" spans="1:17" x14ac:dyDescent="0.25">
      <c r="A19" t="s">
        <v>19</v>
      </c>
      <c r="B19" t="s">
        <v>117</v>
      </c>
      <c r="C19">
        <v>1.4967292390065268</v>
      </c>
      <c r="D19">
        <v>63143936</v>
      </c>
      <c r="E19" t="s">
        <v>85</v>
      </c>
      <c r="F19" t="s">
        <v>24</v>
      </c>
      <c r="G19" t="s">
        <v>25</v>
      </c>
      <c r="H19">
        <v>200</v>
      </c>
      <c r="I19">
        <v>2000</v>
      </c>
      <c r="J19">
        <v>16</v>
      </c>
      <c r="K19">
        <v>1258</v>
      </c>
      <c r="L19">
        <v>1829</v>
      </c>
      <c r="M19">
        <v>153</v>
      </c>
      <c r="N19" t="s">
        <v>15</v>
      </c>
      <c r="O19">
        <v>0</v>
      </c>
      <c r="P19" t="s">
        <v>17</v>
      </c>
      <c r="Q19" s="6">
        <f>Query13[[#This Row],[program_name.test_cases.input.number_of_variables]]/Query13[[#This Row],[program_name.test_cases.input.number_of_functors]]</f>
        <v>8.3652268999453258E-2</v>
      </c>
    </row>
    <row r="20" spans="1:17" hidden="1" x14ac:dyDescent="0.25">
      <c r="A20" s="1" t="s">
        <v>19</v>
      </c>
      <c r="B20" s="1" t="s">
        <v>20</v>
      </c>
      <c r="C20" s="4">
        <v>300.00434943800792</v>
      </c>
      <c r="D20" s="3">
        <v>96268288</v>
      </c>
      <c r="E20" s="1" t="s">
        <v>45</v>
      </c>
      <c r="F20" s="1" t="s">
        <v>24</v>
      </c>
      <c r="G20" s="1" t="s">
        <v>25</v>
      </c>
      <c r="H20" s="1">
        <v>5000</v>
      </c>
      <c r="I20" s="1">
        <v>50000</v>
      </c>
      <c r="J20" s="1">
        <v>16</v>
      </c>
      <c r="K20" s="1">
        <v>31159</v>
      </c>
      <c r="L20" s="1">
        <v>25011</v>
      </c>
      <c r="M20" s="1">
        <v>24952</v>
      </c>
      <c r="N20" s="1" t="s">
        <v>15</v>
      </c>
      <c r="O20" s="1"/>
      <c r="P20" s="1" t="s">
        <v>16</v>
      </c>
      <c r="Q20" s="2">
        <f>Query13[[#This Row],[program_name.test_cases.input.number_of_variables]]/H20</f>
        <v>4.9904000000000002</v>
      </c>
    </row>
    <row r="21" spans="1:17" hidden="1" x14ac:dyDescent="0.25">
      <c r="A21" s="1" t="s">
        <v>19</v>
      </c>
      <c r="B21" s="1" t="s">
        <v>20</v>
      </c>
      <c r="C21" s="4">
        <v>300.00311614200473</v>
      </c>
      <c r="D21" s="3">
        <v>83308544</v>
      </c>
      <c r="E21" s="1" t="s">
        <v>46</v>
      </c>
      <c r="F21" s="1" t="s">
        <v>24</v>
      </c>
      <c r="G21" s="1" t="s">
        <v>25</v>
      </c>
      <c r="H21" s="1">
        <v>2500</v>
      </c>
      <c r="I21" s="1">
        <v>25000</v>
      </c>
      <c r="J21" s="1">
        <v>16</v>
      </c>
      <c r="K21" s="1">
        <v>15621</v>
      </c>
      <c r="L21" s="1">
        <v>12475</v>
      </c>
      <c r="M21" s="1">
        <v>12498</v>
      </c>
      <c r="N21" s="1" t="s">
        <v>15</v>
      </c>
      <c r="O21" s="1"/>
      <c r="P21" s="1" t="s">
        <v>16</v>
      </c>
      <c r="Q21" s="2">
        <f>Query13[[#This Row],[program_name.test_cases.input.number_of_variables]]/H21</f>
        <v>4.9992000000000001</v>
      </c>
    </row>
    <row r="22" spans="1:17" hidden="1" x14ac:dyDescent="0.25">
      <c r="A22" s="1" t="s">
        <v>19</v>
      </c>
      <c r="B22" s="1" t="s">
        <v>20</v>
      </c>
      <c r="C22" s="1">
        <v>0.11476479703560472</v>
      </c>
      <c r="D22" s="1">
        <v>61358080</v>
      </c>
      <c r="E22" s="1" t="s">
        <v>49</v>
      </c>
      <c r="F22" s="1" t="s">
        <v>24</v>
      </c>
      <c r="G22" s="1" t="s">
        <v>25</v>
      </c>
      <c r="H22" s="1">
        <v>200</v>
      </c>
      <c r="I22" s="1">
        <v>600</v>
      </c>
      <c r="J22" s="1">
        <v>4</v>
      </c>
      <c r="K22" s="1">
        <v>376</v>
      </c>
      <c r="L22" s="1">
        <v>312</v>
      </c>
      <c r="M22" s="1">
        <v>286</v>
      </c>
      <c r="N22" s="1" t="s">
        <v>15</v>
      </c>
      <c r="O22" s="1">
        <v>0</v>
      </c>
      <c r="P22" s="1" t="s">
        <v>17</v>
      </c>
      <c r="Q22" s="3">
        <f>Query13[[#This Row],[program_name.test_cases.input.number_of_variables]]/Query13[[#This Row],[program_name.test_cases.input.number_of_functors]]</f>
        <v>0.91666666666666663</v>
      </c>
    </row>
    <row r="23" spans="1:17" x14ac:dyDescent="0.25">
      <c r="A23" t="s">
        <v>19</v>
      </c>
      <c r="B23" t="s">
        <v>117</v>
      </c>
      <c r="C23">
        <v>0.22808225202606991</v>
      </c>
      <c r="D23">
        <v>61984768</v>
      </c>
      <c r="E23" t="s">
        <v>92</v>
      </c>
      <c r="F23" t="s">
        <v>24</v>
      </c>
      <c r="G23" t="s">
        <v>25</v>
      </c>
      <c r="H23">
        <v>200</v>
      </c>
      <c r="I23">
        <v>1000</v>
      </c>
      <c r="J23">
        <v>8</v>
      </c>
      <c r="K23">
        <v>620</v>
      </c>
      <c r="L23">
        <v>825</v>
      </c>
      <c r="M23">
        <v>163</v>
      </c>
      <c r="N23" t="s">
        <v>15</v>
      </c>
      <c r="O23">
        <v>0</v>
      </c>
      <c r="P23" t="s">
        <v>17</v>
      </c>
      <c r="Q23" s="6">
        <f>Query13[[#This Row],[program_name.test_cases.input.number_of_variables]]/Query13[[#This Row],[program_name.test_cases.input.number_of_functors]]</f>
        <v>0.19757575757575757</v>
      </c>
    </row>
    <row r="24" spans="1:17" x14ac:dyDescent="0.25">
      <c r="A24" t="s">
        <v>19</v>
      </c>
      <c r="B24" t="s">
        <v>117</v>
      </c>
      <c r="C24">
        <v>0.22838304698234424</v>
      </c>
      <c r="D24">
        <v>61669376</v>
      </c>
      <c r="E24" t="s">
        <v>81</v>
      </c>
      <c r="F24" t="s">
        <v>24</v>
      </c>
      <c r="G24" t="s">
        <v>25</v>
      </c>
      <c r="H24">
        <v>200</v>
      </c>
      <c r="I24">
        <v>800</v>
      </c>
      <c r="J24">
        <v>6</v>
      </c>
      <c r="K24">
        <v>492</v>
      </c>
      <c r="L24">
        <v>634</v>
      </c>
      <c r="M24">
        <v>154</v>
      </c>
      <c r="N24" t="s">
        <v>15</v>
      </c>
      <c r="O24">
        <v>0</v>
      </c>
      <c r="P24" t="s">
        <v>17</v>
      </c>
      <c r="Q24" s="6">
        <f>Query13[[#This Row],[program_name.test_cases.input.number_of_variables]]/Query13[[#This Row],[program_name.test_cases.input.number_of_functors]]</f>
        <v>0.24290220820189273</v>
      </c>
    </row>
    <row r="25" spans="1:17" x14ac:dyDescent="0.25">
      <c r="A25" t="s">
        <v>19</v>
      </c>
      <c r="B25" t="s">
        <v>117</v>
      </c>
      <c r="C25">
        <v>0.13553267501993105</v>
      </c>
      <c r="D25">
        <v>61403136</v>
      </c>
      <c r="E25" t="s">
        <v>69</v>
      </c>
      <c r="F25" t="s">
        <v>24</v>
      </c>
      <c r="G25" t="s">
        <v>25</v>
      </c>
      <c r="H25">
        <v>200</v>
      </c>
      <c r="I25">
        <v>600</v>
      </c>
      <c r="J25">
        <v>4</v>
      </c>
      <c r="K25">
        <v>372</v>
      </c>
      <c r="L25">
        <v>450</v>
      </c>
      <c r="M25">
        <v>146</v>
      </c>
      <c r="N25" t="s">
        <v>15</v>
      </c>
      <c r="O25">
        <v>0</v>
      </c>
      <c r="P25" t="s">
        <v>17</v>
      </c>
      <c r="Q25" s="6">
        <f>Query13[[#This Row],[program_name.test_cases.input.number_of_variables]]/Query13[[#This Row],[program_name.test_cases.input.number_of_functors]]</f>
        <v>0.32444444444444442</v>
      </c>
    </row>
    <row r="26" spans="1:17" x14ac:dyDescent="0.25">
      <c r="A26" t="s">
        <v>19</v>
      </c>
      <c r="B26" t="s">
        <v>117</v>
      </c>
      <c r="C26">
        <v>6.3389937044121325E-2</v>
      </c>
      <c r="D26">
        <v>61263872</v>
      </c>
      <c r="E26" t="s">
        <v>74</v>
      </c>
      <c r="F26" t="s">
        <v>24</v>
      </c>
      <c r="G26" t="s">
        <v>25</v>
      </c>
      <c r="H26">
        <v>200</v>
      </c>
      <c r="I26">
        <v>400</v>
      </c>
      <c r="J26">
        <v>3</v>
      </c>
      <c r="K26">
        <v>244</v>
      </c>
      <c r="L26">
        <v>270</v>
      </c>
      <c r="M26">
        <v>130</v>
      </c>
      <c r="N26" t="s">
        <v>15</v>
      </c>
      <c r="O26">
        <v>0</v>
      </c>
      <c r="P26" t="s">
        <v>17</v>
      </c>
      <c r="Q26" s="6">
        <f>Query13[[#This Row],[program_name.test_cases.input.number_of_variables]]/Query13[[#This Row],[program_name.test_cases.input.number_of_functors]]</f>
        <v>0.48148148148148145</v>
      </c>
    </row>
    <row r="27" spans="1:17" x14ac:dyDescent="0.25">
      <c r="A27" t="s">
        <v>19</v>
      </c>
      <c r="B27" t="s">
        <v>117</v>
      </c>
      <c r="C27">
        <v>6.3401324965525419E-2</v>
      </c>
      <c r="D27">
        <v>61136896</v>
      </c>
      <c r="E27" t="s">
        <v>110</v>
      </c>
      <c r="F27" t="s">
        <v>24</v>
      </c>
      <c r="G27" t="s">
        <v>25</v>
      </c>
      <c r="H27">
        <v>200</v>
      </c>
      <c r="I27">
        <v>400</v>
      </c>
      <c r="J27">
        <v>3</v>
      </c>
      <c r="K27">
        <v>244</v>
      </c>
      <c r="L27">
        <v>134</v>
      </c>
      <c r="M27">
        <v>265</v>
      </c>
      <c r="N27" t="s">
        <v>15</v>
      </c>
      <c r="O27">
        <v>0</v>
      </c>
      <c r="P27" t="s">
        <v>17</v>
      </c>
      <c r="Q27" s="6">
        <f>Query13[[#This Row],[program_name.test_cases.input.number_of_variables]]/Query13[[#This Row],[program_name.test_cases.input.number_of_functors]]</f>
        <v>1.9776119402985075</v>
      </c>
    </row>
    <row r="28" spans="1:17" hidden="1" x14ac:dyDescent="0.25">
      <c r="A28" s="1" t="s">
        <v>19</v>
      </c>
      <c r="B28" s="1" t="s">
        <v>20</v>
      </c>
      <c r="C28" s="4">
        <v>0.19708550203358757</v>
      </c>
      <c r="D28" s="3">
        <v>61394944</v>
      </c>
      <c r="E28" s="1" t="s">
        <v>47</v>
      </c>
      <c r="F28" s="1" t="s">
        <v>24</v>
      </c>
      <c r="G28" s="1" t="s">
        <v>25</v>
      </c>
      <c r="H28" s="1">
        <v>200</v>
      </c>
      <c r="I28" s="1">
        <v>800</v>
      </c>
      <c r="J28" s="1">
        <v>6</v>
      </c>
      <c r="K28" s="1">
        <v>518</v>
      </c>
      <c r="L28" s="1">
        <v>396</v>
      </c>
      <c r="M28" s="1">
        <v>399</v>
      </c>
      <c r="N28" s="1" t="s">
        <v>15</v>
      </c>
      <c r="O28" s="1">
        <v>0</v>
      </c>
      <c r="P28" s="1" t="s">
        <v>17</v>
      </c>
      <c r="Q28" s="3">
        <f>Query13[[#This Row],[program_name.test_cases.input.number_of_variables]]/Query13[[#This Row],[program_name.test_cases.input.number_of_functors]]</f>
        <v>1.0075757575757576</v>
      </c>
    </row>
    <row r="29" spans="1:17" hidden="1" x14ac:dyDescent="0.25">
      <c r="A29" s="1" t="s">
        <v>19</v>
      </c>
      <c r="B29" s="1" t="s">
        <v>20</v>
      </c>
      <c r="C29" s="1">
        <v>0.19736934499815104</v>
      </c>
      <c r="D29" s="1">
        <v>61935616</v>
      </c>
      <c r="E29" s="1" t="s">
        <v>53</v>
      </c>
      <c r="F29" s="1" t="s">
        <v>24</v>
      </c>
      <c r="G29" s="1" t="s">
        <v>25</v>
      </c>
      <c r="H29" s="1">
        <v>500</v>
      </c>
      <c r="I29" s="1">
        <v>1000</v>
      </c>
      <c r="J29" s="1">
        <v>3</v>
      </c>
      <c r="K29" s="1">
        <v>621</v>
      </c>
      <c r="L29" s="1">
        <v>524</v>
      </c>
      <c r="M29" s="1">
        <v>475</v>
      </c>
      <c r="N29" s="1" t="s">
        <v>15</v>
      </c>
      <c r="O29" s="1">
        <v>0</v>
      </c>
      <c r="P29" s="1" t="s">
        <v>17</v>
      </c>
      <c r="Q29" s="3">
        <f>Query13[[#This Row],[program_name.test_cases.input.number_of_variables]]/Query13[[#This Row],[program_name.test_cases.input.number_of_functors]]</f>
        <v>0.90648854961832059</v>
      </c>
    </row>
    <row r="30" spans="1:17" x14ac:dyDescent="0.25">
      <c r="A30" t="s">
        <v>19</v>
      </c>
      <c r="B30" t="s">
        <v>117</v>
      </c>
      <c r="C30">
        <v>9.4081243965774761E-2</v>
      </c>
      <c r="D30">
        <v>61362176</v>
      </c>
      <c r="E30" t="s">
        <v>107</v>
      </c>
      <c r="F30" t="s">
        <v>24</v>
      </c>
      <c r="G30" t="s">
        <v>25</v>
      </c>
      <c r="H30">
        <v>200</v>
      </c>
      <c r="I30">
        <v>600</v>
      </c>
      <c r="J30">
        <v>4</v>
      </c>
      <c r="K30">
        <v>377</v>
      </c>
      <c r="L30">
        <v>162</v>
      </c>
      <c r="M30">
        <v>434</v>
      </c>
      <c r="N30" t="s">
        <v>15</v>
      </c>
      <c r="O30">
        <v>0</v>
      </c>
      <c r="P30" t="s">
        <v>17</v>
      </c>
      <c r="Q30" s="6">
        <f>Query13[[#This Row],[program_name.test_cases.input.number_of_variables]]/Query13[[#This Row],[program_name.test_cases.input.number_of_functors]]</f>
        <v>2.6790123456790123</v>
      </c>
    </row>
    <row r="31" spans="1:17" x14ac:dyDescent="0.25">
      <c r="A31" t="s">
        <v>19</v>
      </c>
      <c r="B31" t="s">
        <v>117</v>
      </c>
      <c r="C31">
        <v>0.11514575104229152</v>
      </c>
      <c r="D31">
        <v>61538304</v>
      </c>
      <c r="E31" t="s">
        <v>78</v>
      </c>
      <c r="F31" t="s">
        <v>24</v>
      </c>
      <c r="G31" t="s">
        <v>25</v>
      </c>
      <c r="H31">
        <v>200</v>
      </c>
      <c r="I31">
        <v>800</v>
      </c>
      <c r="J31">
        <v>6</v>
      </c>
      <c r="K31">
        <v>481</v>
      </c>
      <c r="L31">
        <v>183</v>
      </c>
      <c r="M31">
        <v>612</v>
      </c>
      <c r="N31" t="s">
        <v>15</v>
      </c>
      <c r="O31">
        <v>0</v>
      </c>
      <c r="P31" t="s">
        <v>17</v>
      </c>
      <c r="Q31" s="6">
        <f>Query13[[#This Row],[program_name.test_cases.input.number_of_variables]]/Query13[[#This Row],[program_name.test_cases.input.number_of_functors]]</f>
        <v>3.3442622950819674</v>
      </c>
    </row>
    <row r="32" spans="1:17" x14ac:dyDescent="0.25">
      <c r="A32" t="s">
        <v>19</v>
      </c>
      <c r="B32" t="s">
        <v>117</v>
      </c>
      <c r="C32">
        <v>0.16632833500625566</v>
      </c>
      <c r="D32">
        <v>61857792</v>
      </c>
      <c r="E32" t="s">
        <v>65</v>
      </c>
      <c r="F32" t="s">
        <v>24</v>
      </c>
      <c r="G32" t="s">
        <v>25</v>
      </c>
      <c r="H32">
        <v>200</v>
      </c>
      <c r="I32">
        <v>1000</v>
      </c>
      <c r="J32">
        <v>8</v>
      </c>
      <c r="K32">
        <v>624</v>
      </c>
      <c r="L32">
        <v>162</v>
      </c>
      <c r="M32">
        <v>831</v>
      </c>
      <c r="N32" t="s">
        <v>15</v>
      </c>
      <c r="O32">
        <v>0</v>
      </c>
      <c r="P32" t="s">
        <v>17</v>
      </c>
      <c r="Q32" s="6">
        <f>Query13[[#This Row],[program_name.test_cases.input.number_of_variables]]/Query13[[#This Row],[program_name.test_cases.input.number_of_functors]]</f>
        <v>5.1296296296296298</v>
      </c>
    </row>
    <row r="33" spans="1:17" hidden="1" x14ac:dyDescent="0.25">
      <c r="A33" s="1" t="s">
        <v>19</v>
      </c>
      <c r="B33" s="1" t="s">
        <v>20</v>
      </c>
      <c r="C33" s="4">
        <v>0.30039339303039014</v>
      </c>
      <c r="D33" s="3">
        <v>61743104</v>
      </c>
      <c r="E33" s="1" t="s">
        <v>41</v>
      </c>
      <c r="F33" s="1" t="s">
        <v>24</v>
      </c>
      <c r="G33" s="1" t="s">
        <v>25</v>
      </c>
      <c r="H33" s="1">
        <v>200</v>
      </c>
      <c r="I33" s="1">
        <v>1000</v>
      </c>
      <c r="J33" s="1">
        <v>8</v>
      </c>
      <c r="K33" s="1">
        <v>642</v>
      </c>
      <c r="L33" s="1">
        <v>510</v>
      </c>
      <c r="M33" s="1">
        <v>482</v>
      </c>
      <c r="N33" s="1" t="s">
        <v>15</v>
      </c>
      <c r="O33" s="1">
        <v>0</v>
      </c>
      <c r="P33" s="1" t="s">
        <v>17</v>
      </c>
      <c r="Q33" s="3">
        <f>Query13[[#This Row],[program_name.test_cases.input.number_of_variables]]/Query13[[#This Row],[program_name.test_cases.input.number_of_functors]]</f>
        <v>0.94509803921568625</v>
      </c>
    </row>
    <row r="34" spans="1:17" hidden="1" x14ac:dyDescent="0.25">
      <c r="A34" s="1" t="s">
        <v>19</v>
      </c>
      <c r="B34" s="1" t="s">
        <v>20</v>
      </c>
      <c r="C34" s="4">
        <v>0.24916376400506124</v>
      </c>
      <c r="D34" s="3">
        <v>61935616</v>
      </c>
      <c r="E34" s="1" t="s">
        <v>48</v>
      </c>
      <c r="F34" s="1" t="s">
        <v>24</v>
      </c>
      <c r="G34" s="1" t="s">
        <v>25</v>
      </c>
      <c r="H34" s="1">
        <v>100</v>
      </c>
      <c r="I34" s="1">
        <v>1000</v>
      </c>
      <c r="J34" s="1">
        <v>16</v>
      </c>
      <c r="K34" s="1">
        <v>619</v>
      </c>
      <c r="L34" s="1">
        <v>488</v>
      </c>
      <c r="M34" s="1">
        <v>493</v>
      </c>
      <c r="N34" s="1" t="s">
        <v>15</v>
      </c>
      <c r="O34" s="1">
        <v>0</v>
      </c>
      <c r="P34" s="1" t="s">
        <v>17</v>
      </c>
      <c r="Q34" s="3">
        <f>Query13[[#This Row],[program_name.test_cases.input.number_of_variables]]/Query13[[#This Row],[program_name.test_cases.input.number_of_functors]]</f>
        <v>1.0102459016393444</v>
      </c>
    </row>
    <row r="35" spans="1:17" hidden="1" x14ac:dyDescent="0.25">
      <c r="A35" t="s">
        <v>19</v>
      </c>
      <c r="B35" t="s">
        <v>117</v>
      </c>
      <c r="C35">
        <v>300.00445196602959</v>
      </c>
      <c r="D35">
        <v>81727488</v>
      </c>
      <c r="E35" t="s">
        <v>60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x14ac:dyDescent="0.25">
      <c r="A36" t="s">
        <v>19</v>
      </c>
      <c r="B36" t="s">
        <v>117</v>
      </c>
      <c r="C36">
        <v>0.76433521299622953</v>
      </c>
      <c r="D36">
        <v>62578688</v>
      </c>
      <c r="E36" t="s">
        <v>101</v>
      </c>
      <c r="F36" t="s">
        <v>24</v>
      </c>
      <c r="G36" t="s">
        <v>25</v>
      </c>
      <c r="H36">
        <v>200</v>
      </c>
      <c r="I36">
        <v>2000</v>
      </c>
      <c r="J36">
        <v>16</v>
      </c>
      <c r="K36">
        <v>1243</v>
      </c>
      <c r="L36">
        <v>182</v>
      </c>
      <c r="M36">
        <v>1787</v>
      </c>
      <c r="N36" t="s">
        <v>15</v>
      </c>
      <c r="O36">
        <v>0</v>
      </c>
      <c r="P36" t="s">
        <v>17</v>
      </c>
      <c r="Q36" s="6">
        <f>Query13[[#This Row],[program_name.test_cases.input.number_of_variables]]/Query13[[#This Row],[program_name.test_cases.input.number_of_functors]]</f>
        <v>9.8186813186813193</v>
      </c>
    </row>
    <row r="37" spans="1:17" hidden="1" x14ac:dyDescent="0.25">
      <c r="A37" t="s">
        <v>19</v>
      </c>
      <c r="B37" t="s">
        <v>117</v>
      </c>
      <c r="C37">
        <v>300.00799809599994</v>
      </c>
      <c r="D37">
        <v>88678400</v>
      </c>
      <c r="E37" t="s">
        <v>62</v>
      </c>
      <c r="F37" t="s">
        <v>24</v>
      </c>
      <c r="G37" t="s">
        <v>25</v>
      </c>
      <c r="H37">
        <v>5000</v>
      </c>
      <c r="I37">
        <v>50000</v>
      </c>
      <c r="J37">
        <v>16</v>
      </c>
      <c r="K37">
        <v>31247</v>
      </c>
      <c r="L37">
        <v>45462</v>
      </c>
      <c r="M37">
        <v>4506</v>
      </c>
      <c r="N37" t="s">
        <v>15</v>
      </c>
      <c r="P37" t="s">
        <v>16</v>
      </c>
    </row>
    <row r="38" spans="1:17" x14ac:dyDescent="0.25">
      <c r="A38" t="s">
        <v>19</v>
      </c>
      <c r="B38" t="s">
        <v>117</v>
      </c>
      <c r="C38">
        <v>12.152488045045176</v>
      </c>
      <c r="D38">
        <v>66445312</v>
      </c>
      <c r="E38" t="s">
        <v>108</v>
      </c>
      <c r="F38" t="s">
        <v>24</v>
      </c>
      <c r="G38" t="s">
        <v>25</v>
      </c>
      <c r="H38">
        <v>500</v>
      </c>
      <c r="I38">
        <v>5000</v>
      </c>
      <c r="J38">
        <v>16</v>
      </c>
      <c r="K38">
        <v>3145</v>
      </c>
      <c r="L38">
        <v>4522</v>
      </c>
      <c r="M38">
        <v>447</v>
      </c>
      <c r="N38" t="s">
        <v>15</v>
      </c>
      <c r="O38">
        <v>0</v>
      </c>
      <c r="Q38" s="6">
        <f>Query13[[#This Row],[program_name.test_cases.input.number_of_variables]]/Query13[[#This Row],[program_name.test_cases.input.number_of_functors]]</f>
        <v>9.8850066342326404E-2</v>
      </c>
    </row>
    <row r="39" spans="1:17" hidden="1" x14ac:dyDescent="0.25">
      <c r="A39" s="1" t="s">
        <v>19</v>
      </c>
      <c r="B39" s="1" t="s">
        <v>20</v>
      </c>
      <c r="C39" s="1">
        <v>0.44452173903118819</v>
      </c>
      <c r="D39" s="1">
        <v>62435328</v>
      </c>
      <c r="E39" s="1" t="s">
        <v>54</v>
      </c>
      <c r="F39" s="1" t="s">
        <v>24</v>
      </c>
      <c r="G39" s="1" t="s">
        <v>25</v>
      </c>
      <c r="H39" s="1">
        <v>500</v>
      </c>
      <c r="I39" s="1">
        <v>1500</v>
      </c>
      <c r="J39" s="1">
        <v>4</v>
      </c>
      <c r="K39" s="1">
        <v>947</v>
      </c>
      <c r="L39" s="1">
        <v>730</v>
      </c>
      <c r="M39" s="1">
        <v>766</v>
      </c>
      <c r="N39" s="1" t="s">
        <v>15</v>
      </c>
      <c r="O39" s="1">
        <v>0</v>
      </c>
      <c r="P39" s="1" t="s">
        <v>17</v>
      </c>
      <c r="Q39" s="3">
        <f>Query13[[#This Row],[program_name.test_cases.input.number_of_variables]]/Query13[[#This Row],[program_name.test_cases.input.number_of_functors]]</f>
        <v>1.0493150684931507</v>
      </c>
    </row>
    <row r="40" spans="1:17" x14ac:dyDescent="0.25">
      <c r="A40" t="s">
        <v>19</v>
      </c>
      <c r="B40" t="s">
        <v>117</v>
      </c>
      <c r="C40">
        <v>2.4972493299865164</v>
      </c>
      <c r="D40">
        <v>63590400</v>
      </c>
      <c r="E40" t="s">
        <v>112</v>
      </c>
      <c r="F40" t="s">
        <v>24</v>
      </c>
      <c r="G40" t="s">
        <v>25</v>
      </c>
      <c r="H40">
        <v>500</v>
      </c>
      <c r="I40">
        <v>2500</v>
      </c>
      <c r="J40">
        <v>8</v>
      </c>
      <c r="K40">
        <v>1580</v>
      </c>
      <c r="L40">
        <v>2067</v>
      </c>
      <c r="M40">
        <v>423</v>
      </c>
      <c r="N40" t="s">
        <v>15</v>
      </c>
      <c r="O40">
        <v>0</v>
      </c>
      <c r="P40" t="s">
        <v>17</v>
      </c>
      <c r="Q40" s="6">
        <f>Query13[[#This Row],[program_name.test_cases.input.number_of_variables]]/Query13[[#This Row],[program_name.test_cases.input.number_of_functors]]</f>
        <v>0.204644412191582</v>
      </c>
    </row>
    <row r="41" spans="1:17" x14ac:dyDescent="0.25">
      <c r="A41" t="s">
        <v>19</v>
      </c>
      <c r="B41" t="s">
        <v>117</v>
      </c>
      <c r="C41">
        <v>1.0017708159866745</v>
      </c>
      <c r="D41">
        <v>62926848</v>
      </c>
      <c r="E41" t="s">
        <v>76</v>
      </c>
      <c r="F41" t="s">
        <v>24</v>
      </c>
      <c r="G41" t="s">
        <v>25</v>
      </c>
      <c r="H41">
        <v>500</v>
      </c>
      <c r="I41">
        <v>2000</v>
      </c>
      <c r="J41">
        <v>6</v>
      </c>
      <c r="K41">
        <v>1253</v>
      </c>
      <c r="L41">
        <v>1598</v>
      </c>
      <c r="M41">
        <v>394</v>
      </c>
      <c r="N41" t="s">
        <v>15</v>
      </c>
      <c r="O41">
        <v>0</v>
      </c>
      <c r="Q41" s="6">
        <f>Query13[[#This Row],[program_name.test_cases.input.number_of_variables]]/Query13[[#This Row],[program_name.test_cases.input.number_of_functors]]</f>
        <v>0.24655819774718399</v>
      </c>
    </row>
    <row r="42" spans="1:17" x14ac:dyDescent="0.25">
      <c r="A42" t="s">
        <v>19</v>
      </c>
      <c r="B42" t="s">
        <v>117</v>
      </c>
      <c r="C42">
        <v>0.73347344598732889</v>
      </c>
      <c r="D42">
        <v>62550016</v>
      </c>
      <c r="E42" t="s">
        <v>63</v>
      </c>
      <c r="F42" t="s">
        <v>24</v>
      </c>
      <c r="G42" t="s">
        <v>25</v>
      </c>
      <c r="H42">
        <v>500</v>
      </c>
      <c r="I42">
        <v>1500</v>
      </c>
      <c r="J42">
        <v>4</v>
      </c>
      <c r="K42">
        <v>940</v>
      </c>
      <c r="L42">
        <v>1134</v>
      </c>
      <c r="M42">
        <v>363</v>
      </c>
      <c r="N42" t="s">
        <v>15</v>
      </c>
      <c r="O42">
        <v>0</v>
      </c>
      <c r="P42" t="s">
        <v>17</v>
      </c>
      <c r="Q42" s="6">
        <f>Query13[[#This Row],[program_name.test_cases.input.number_of_variables]]/Query13[[#This Row],[program_name.test_cases.input.number_of_functors]]</f>
        <v>0.32010582010582012</v>
      </c>
    </row>
    <row r="43" spans="1:17" hidden="1" x14ac:dyDescent="0.25">
      <c r="A43" s="1" t="s">
        <v>19</v>
      </c>
      <c r="B43" s="1" t="s">
        <v>20</v>
      </c>
      <c r="C43" s="4">
        <v>1.125840587017592</v>
      </c>
      <c r="D43" s="3">
        <v>62898176</v>
      </c>
      <c r="E43" s="1" t="s">
        <v>35</v>
      </c>
      <c r="F43" s="1" t="s">
        <v>24</v>
      </c>
      <c r="G43" s="1" t="s">
        <v>25</v>
      </c>
      <c r="H43" s="1">
        <v>200</v>
      </c>
      <c r="I43" s="1">
        <v>2000</v>
      </c>
      <c r="J43" s="1">
        <v>16</v>
      </c>
      <c r="K43" s="1">
        <v>1253</v>
      </c>
      <c r="L43" s="1">
        <v>995</v>
      </c>
      <c r="M43" s="1">
        <v>973</v>
      </c>
      <c r="N43" s="1" t="s">
        <v>15</v>
      </c>
      <c r="O43" s="1">
        <v>0</v>
      </c>
      <c r="P43" s="1" t="s">
        <v>17</v>
      </c>
      <c r="Q43" s="3">
        <f>Query13[[#This Row],[program_name.test_cases.input.number_of_variables]]/Query13[[#This Row],[program_name.test_cases.input.number_of_functors]]</f>
        <v>0.97788944723618088</v>
      </c>
    </row>
    <row r="44" spans="1:17" x14ac:dyDescent="0.25">
      <c r="A44" t="s">
        <v>19</v>
      </c>
      <c r="B44" t="s">
        <v>117</v>
      </c>
      <c r="C44">
        <v>0.21803078398806977</v>
      </c>
      <c r="D44">
        <v>61870080</v>
      </c>
      <c r="E44" t="s">
        <v>103</v>
      </c>
      <c r="F44" t="s">
        <v>24</v>
      </c>
      <c r="G44" t="s">
        <v>25</v>
      </c>
      <c r="H44">
        <v>500</v>
      </c>
      <c r="I44">
        <v>1000</v>
      </c>
      <c r="J44">
        <v>3</v>
      </c>
      <c r="K44">
        <v>629</v>
      </c>
      <c r="L44">
        <v>640</v>
      </c>
      <c r="M44">
        <v>354</v>
      </c>
      <c r="N44" t="s">
        <v>15</v>
      </c>
      <c r="O44">
        <v>0</v>
      </c>
      <c r="P44" t="s">
        <v>17</v>
      </c>
      <c r="Q44" s="6">
        <f>Query13[[#This Row],[program_name.test_cases.input.number_of_variables]]/Query13[[#This Row],[program_name.test_cases.input.number_of_functors]]</f>
        <v>0.55312499999999998</v>
      </c>
    </row>
    <row r="45" spans="1:17" x14ac:dyDescent="0.25">
      <c r="A45" t="s">
        <v>19</v>
      </c>
      <c r="B45" t="s">
        <v>117</v>
      </c>
      <c r="C45">
        <v>0.1869031130336225</v>
      </c>
      <c r="D45">
        <v>61865984</v>
      </c>
      <c r="E45" t="s">
        <v>94</v>
      </c>
      <c r="F45" t="s">
        <v>24</v>
      </c>
      <c r="G45" t="s">
        <v>25</v>
      </c>
      <c r="H45">
        <v>500</v>
      </c>
      <c r="I45">
        <v>1000</v>
      </c>
      <c r="J45">
        <v>3</v>
      </c>
      <c r="K45">
        <v>619</v>
      </c>
      <c r="L45">
        <v>347</v>
      </c>
      <c r="M45">
        <v>649</v>
      </c>
      <c r="N45" t="s">
        <v>15</v>
      </c>
      <c r="O45">
        <v>0</v>
      </c>
      <c r="P45" t="s">
        <v>17</v>
      </c>
      <c r="Q45" s="6">
        <f>Query13[[#This Row],[program_name.test_cases.input.number_of_variables]]/Query13[[#This Row],[program_name.test_cases.input.number_of_functors]]</f>
        <v>1.8703170028818443</v>
      </c>
    </row>
    <row r="46" spans="1:17" x14ac:dyDescent="0.25">
      <c r="A46" t="s">
        <v>19</v>
      </c>
      <c r="B46" t="s">
        <v>117</v>
      </c>
      <c r="C46">
        <v>0.38302990299416706</v>
      </c>
      <c r="D46">
        <v>62345216</v>
      </c>
      <c r="E46" t="s">
        <v>59</v>
      </c>
      <c r="F46" t="s">
        <v>24</v>
      </c>
      <c r="G46" t="s">
        <v>25</v>
      </c>
      <c r="H46">
        <v>500</v>
      </c>
      <c r="I46">
        <v>1500</v>
      </c>
      <c r="J46">
        <v>4</v>
      </c>
      <c r="K46">
        <v>935</v>
      </c>
      <c r="L46">
        <v>365</v>
      </c>
      <c r="M46">
        <v>1134</v>
      </c>
      <c r="N46" t="s">
        <v>15</v>
      </c>
      <c r="O46">
        <v>0</v>
      </c>
      <c r="P46" t="s">
        <v>17</v>
      </c>
      <c r="Q46" s="6">
        <f>Query13[[#This Row],[program_name.test_cases.input.number_of_variables]]/Query13[[#This Row],[program_name.test_cases.input.number_of_functors]]</f>
        <v>3.106849315068493</v>
      </c>
    </row>
    <row r="47" spans="1:17" hidden="1" x14ac:dyDescent="0.25">
      <c r="A47" s="1" t="s">
        <v>19</v>
      </c>
      <c r="B47" s="1" t="s">
        <v>20</v>
      </c>
      <c r="C47" s="4">
        <v>1.0942349539836869</v>
      </c>
      <c r="D47" s="3">
        <v>62881792</v>
      </c>
      <c r="E47" s="1" t="s">
        <v>32</v>
      </c>
      <c r="F47" s="1" t="s">
        <v>24</v>
      </c>
      <c r="G47" s="1" t="s">
        <v>25</v>
      </c>
      <c r="H47" s="1">
        <v>500</v>
      </c>
      <c r="I47" s="1">
        <v>2000</v>
      </c>
      <c r="J47" s="1">
        <v>6</v>
      </c>
      <c r="K47" s="1">
        <v>1257</v>
      </c>
      <c r="L47" s="1">
        <v>974</v>
      </c>
      <c r="M47" s="1">
        <v>1014</v>
      </c>
      <c r="N47" s="1" t="s">
        <v>15</v>
      </c>
      <c r="O47" s="1">
        <v>0</v>
      </c>
      <c r="P47" s="1" t="s">
        <v>17</v>
      </c>
      <c r="Q47" s="3">
        <f>Query13[[#This Row],[program_name.test_cases.input.number_of_variables]]/Query13[[#This Row],[program_name.test_cases.input.number_of_functors]]</f>
        <v>1.0410677618069815</v>
      </c>
    </row>
    <row r="48" spans="1:17" hidden="1" x14ac:dyDescent="0.25">
      <c r="A48" s="1" t="s">
        <v>19</v>
      </c>
      <c r="B48" s="1" t="s">
        <v>20</v>
      </c>
      <c r="C48" s="1">
        <v>0.77540042594773695</v>
      </c>
      <c r="D48" s="1">
        <v>62746624</v>
      </c>
      <c r="E48" s="1" t="s">
        <v>52</v>
      </c>
      <c r="F48" s="1" t="s">
        <v>24</v>
      </c>
      <c r="G48" s="1" t="s">
        <v>25</v>
      </c>
      <c r="H48" s="1">
        <v>1000</v>
      </c>
      <c r="I48" s="1">
        <v>2000</v>
      </c>
      <c r="J48" s="1">
        <v>3</v>
      </c>
      <c r="K48" s="1">
        <v>1240</v>
      </c>
      <c r="L48" s="1">
        <v>948</v>
      </c>
      <c r="M48" s="1">
        <v>1049</v>
      </c>
      <c r="N48" s="1" t="s">
        <v>15</v>
      </c>
      <c r="O48" s="1">
        <v>0</v>
      </c>
      <c r="P48" s="1" t="s">
        <v>17</v>
      </c>
      <c r="Q48" s="3">
        <f>Query13[[#This Row],[program_name.test_cases.input.number_of_variables]]/Query13[[#This Row],[program_name.test_cases.input.number_of_functors]]</f>
        <v>1.1065400843881856</v>
      </c>
    </row>
    <row r="49" spans="1:17" hidden="1" x14ac:dyDescent="0.25">
      <c r="A49" s="1" t="s">
        <v>19</v>
      </c>
      <c r="B49" s="1" t="s">
        <v>20</v>
      </c>
      <c r="C49" s="4">
        <v>1.4133816200192086</v>
      </c>
      <c r="D49" s="3">
        <v>63369216</v>
      </c>
      <c r="E49" s="1" t="s">
        <v>39</v>
      </c>
      <c r="F49" s="1" t="s">
        <v>24</v>
      </c>
      <c r="G49" s="1" t="s">
        <v>25</v>
      </c>
      <c r="H49" s="1">
        <v>500</v>
      </c>
      <c r="I49" s="1">
        <v>2500</v>
      </c>
      <c r="J49" s="1">
        <v>8</v>
      </c>
      <c r="K49" s="1">
        <v>1542</v>
      </c>
      <c r="L49" s="1">
        <v>1214</v>
      </c>
      <c r="M49" s="1">
        <v>1272</v>
      </c>
      <c r="N49" s="1" t="s">
        <v>15</v>
      </c>
      <c r="O49" s="1">
        <v>0</v>
      </c>
      <c r="P49" s="1" t="s">
        <v>17</v>
      </c>
      <c r="Q49" s="3">
        <f>Query13[[#This Row],[program_name.test_cases.input.number_of_variables]]/Query13[[#This Row],[program_name.test_cases.input.number_of_functors]]</f>
        <v>1.0477759472817134</v>
      </c>
    </row>
    <row r="50" spans="1:17" hidden="1" x14ac:dyDescent="0.25">
      <c r="A50" t="s">
        <v>19</v>
      </c>
      <c r="B50" t="s">
        <v>117</v>
      </c>
      <c r="C50">
        <v>300.00870588899124</v>
      </c>
      <c r="D50">
        <v>81743872</v>
      </c>
      <c r="E50" t="s">
        <v>75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x14ac:dyDescent="0.25">
      <c r="A51" t="s">
        <v>19</v>
      </c>
      <c r="B51" t="s">
        <v>117</v>
      </c>
      <c r="C51">
        <v>0.71242324804188684</v>
      </c>
      <c r="D51">
        <v>62734336</v>
      </c>
      <c r="E51" t="s">
        <v>64</v>
      </c>
      <c r="F51" t="s">
        <v>24</v>
      </c>
      <c r="G51" t="s">
        <v>25</v>
      </c>
      <c r="H51">
        <v>500</v>
      </c>
      <c r="I51">
        <v>2000</v>
      </c>
      <c r="J51">
        <v>6</v>
      </c>
      <c r="K51">
        <v>1244</v>
      </c>
      <c r="L51">
        <v>415</v>
      </c>
      <c r="M51">
        <v>1581</v>
      </c>
      <c r="N51" t="s">
        <v>15</v>
      </c>
      <c r="O51">
        <v>0</v>
      </c>
      <c r="P51" t="s">
        <v>17</v>
      </c>
      <c r="Q51" s="6">
        <f>Query13[[#This Row],[program_name.test_cases.input.number_of_variables]]/Query13[[#This Row],[program_name.test_cases.input.number_of_functors]]</f>
        <v>3.8096385542168676</v>
      </c>
    </row>
    <row r="52" spans="1:17" x14ac:dyDescent="0.25">
      <c r="A52" t="s">
        <v>19</v>
      </c>
      <c r="B52" t="s">
        <v>117</v>
      </c>
      <c r="C52">
        <v>1.4556734470534138</v>
      </c>
      <c r="D52">
        <v>63094784</v>
      </c>
      <c r="E52" t="s">
        <v>80</v>
      </c>
      <c r="F52" t="s">
        <v>24</v>
      </c>
      <c r="G52" t="s">
        <v>25</v>
      </c>
      <c r="H52">
        <v>500</v>
      </c>
      <c r="I52">
        <v>2500</v>
      </c>
      <c r="J52">
        <v>8</v>
      </c>
      <c r="K52">
        <v>1567</v>
      </c>
      <c r="L52">
        <v>400</v>
      </c>
      <c r="M52">
        <v>2087</v>
      </c>
      <c r="N52" t="s">
        <v>15</v>
      </c>
      <c r="O52">
        <v>0</v>
      </c>
      <c r="P52" t="s">
        <v>17</v>
      </c>
      <c r="Q52" s="6">
        <f>Query13[[#This Row],[program_name.test_cases.input.number_of_variables]]/Query13[[#This Row],[program_name.test_cases.input.number_of_functors]]</f>
        <v>5.2175000000000002</v>
      </c>
    </row>
    <row r="53" spans="1:17" x14ac:dyDescent="0.25">
      <c r="A53" t="s">
        <v>19</v>
      </c>
      <c r="B53" t="s">
        <v>117</v>
      </c>
      <c r="C53">
        <v>7.0739297040272504</v>
      </c>
      <c r="D53">
        <v>65343488</v>
      </c>
      <c r="E53" t="s">
        <v>73</v>
      </c>
      <c r="F53" t="s">
        <v>24</v>
      </c>
      <c r="G53" t="s">
        <v>25</v>
      </c>
      <c r="H53">
        <v>500</v>
      </c>
      <c r="I53">
        <v>5000</v>
      </c>
      <c r="J53">
        <v>16</v>
      </c>
      <c r="K53">
        <v>3129</v>
      </c>
      <c r="L53">
        <v>491</v>
      </c>
      <c r="M53">
        <v>4478</v>
      </c>
      <c r="N53" t="s">
        <v>15</v>
      </c>
      <c r="O53">
        <v>0</v>
      </c>
      <c r="Q53" s="6">
        <f>Query13[[#This Row],[program_name.test_cases.input.number_of_variables]]/Query13[[#This Row],[program_name.test_cases.input.number_of_functors]]</f>
        <v>9.1201629327902243</v>
      </c>
    </row>
    <row r="54" spans="1:17" hidden="1" x14ac:dyDescent="0.25">
      <c r="A54" s="1" t="s">
        <v>19</v>
      </c>
      <c r="B54" s="1" t="s">
        <v>20</v>
      </c>
      <c r="C54" s="4">
        <v>2.0713938319822773</v>
      </c>
      <c r="D54" s="3">
        <v>63807488</v>
      </c>
      <c r="E54" s="1" t="s">
        <v>30</v>
      </c>
      <c r="F54" s="1" t="s">
        <v>24</v>
      </c>
      <c r="G54" s="1" t="s">
        <v>25</v>
      </c>
      <c r="H54" s="1">
        <v>1000</v>
      </c>
      <c r="I54" s="1">
        <v>3000</v>
      </c>
      <c r="J54" s="1">
        <v>4</v>
      </c>
      <c r="K54" s="1">
        <v>1853</v>
      </c>
      <c r="L54" s="1">
        <v>1501</v>
      </c>
      <c r="M54" s="1">
        <v>1493</v>
      </c>
      <c r="N54" s="1" t="s">
        <v>15</v>
      </c>
      <c r="O54" s="1">
        <v>0</v>
      </c>
      <c r="P54" s="1"/>
      <c r="Q54" s="3">
        <f>Query13[[#This Row],[program_name.test_cases.input.number_of_variables]]/Query13[[#This Row],[program_name.test_cases.input.number_of_functors]]</f>
        <v>0.99467021985343107</v>
      </c>
    </row>
    <row r="55" spans="1:17" x14ac:dyDescent="0.25">
      <c r="A55" t="s">
        <v>19</v>
      </c>
      <c r="B55" t="s">
        <v>117</v>
      </c>
      <c r="C55">
        <v>63.438968504953664</v>
      </c>
      <c r="D55">
        <v>71745536</v>
      </c>
      <c r="E55" t="s">
        <v>104</v>
      </c>
      <c r="F55" t="s">
        <v>24</v>
      </c>
      <c r="G55" t="s">
        <v>25</v>
      </c>
      <c r="H55">
        <v>1000</v>
      </c>
      <c r="I55">
        <v>10000</v>
      </c>
      <c r="J55">
        <v>16</v>
      </c>
      <c r="K55">
        <v>6297</v>
      </c>
      <c r="L55">
        <v>9060</v>
      </c>
      <c r="M55">
        <v>908</v>
      </c>
      <c r="N55" t="s">
        <v>15</v>
      </c>
      <c r="O55">
        <v>0</v>
      </c>
      <c r="Q55" s="6">
        <f>Query13[[#This Row],[program_name.test_cases.input.number_of_variables]]/Query13[[#This Row],[program_name.test_cases.input.number_of_functors]]</f>
        <v>0.10022075055187638</v>
      </c>
    </row>
    <row r="56" spans="1:17" x14ac:dyDescent="0.25">
      <c r="A56" t="s">
        <v>19</v>
      </c>
      <c r="B56" t="s">
        <v>117</v>
      </c>
      <c r="C56">
        <v>11.944014973007144</v>
      </c>
      <c r="D56">
        <v>66359296</v>
      </c>
      <c r="E56" t="s">
        <v>79</v>
      </c>
      <c r="F56" t="s">
        <v>24</v>
      </c>
      <c r="G56" t="s">
        <v>25</v>
      </c>
      <c r="H56">
        <v>1000</v>
      </c>
      <c r="I56">
        <v>5000</v>
      </c>
      <c r="J56">
        <v>8</v>
      </c>
      <c r="K56">
        <v>3122</v>
      </c>
      <c r="L56">
        <v>4156</v>
      </c>
      <c r="M56">
        <v>834</v>
      </c>
      <c r="N56" t="s">
        <v>15</v>
      </c>
      <c r="O56">
        <v>0</v>
      </c>
      <c r="P56" t="s">
        <v>17</v>
      </c>
      <c r="Q56" s="6">
        <f>Query13[[#This Row],[program_name.test_cases.input.number_of_variables]]/Query13[[#This Row],[program_name.test_cases.input.number_of_functors]]</f>
        <v>0.20067372473532241</v>
      </c>
    </row>
    <row r="57" spans="1:17" x14ac:dyDescent="0.25">
      <c r="A57" t="s">
        <v>19</v>
      </c>
      <c r="B57" t="s">
        <v>117</v>
      </c>
      <c r="C57">
        <v>4.8368103110115044</v>
      </c>
      <c r="D57">
        <v>64917504</v>
      </c>
      <c r="E57" t="s">
        <v>70</v>
      </c>
      <c r="F57" t="s">
        <v>24</v>
      </c>
      <c r="G57" t="s">
        <v>25</v>
      </c>
      <c r="H57">
        <v>1000</v>
      </c>
      <c r="I57">
        <v>4000</v>
      </c>
      <c r="J57">
        <v>6</v>
      </c>
      <c r="K57">
        <v>2482</v>
      </c>
      <c r="L57">
        <v>3172</v>
      </c>
      <c r="M57">
        <v>818</v>
      </c>
      <c r="N57" t="s">
        <v>15</v>
      </c>
      <c r="O57">
        <v>0</v>
      </c>
      <c r="P57" t="s">
        <v>17</v>
      </c>
      <c r="Q57" s="6">
        <f>Query13[[#This Row],[program_name.test_cases.input.number_of_variables]]/Query13[[#This Row],[program_name.test_cases.input.number_of_functors]]</f>
        <v>0.25788146279949559</v>
      </c>
    </row>
    <row r="58" spans="1:17" hidden="1" x14ac:dyDescent="0.25">
      <c r="A58" s="1" t="s">
        <v>19</v>
      </c>
      <c r="B58" s="1" t="s">
        <v>20</v>
      </c>
      <c r="C58" s="4">
        <v>4.411272328987252</v>
      </c>
      <c r="D58" s="3">
        <v>64741376</v>
      </c>
      <c r="E58" s="1" t="s">
        <v>29</v>
      </c>
      <c r="F58" s="1" t="s">
        <v>24</v>
      </c>
      <c r="G58" s="1" t="s">
        <v>25</v>
      </c>
      <c r="H58" s="1">
        <v>1000</v>
      </c>
      <c r="I58" s="1">
        <v>4000</v>
      </c>
      <c r="J58" s="1">
        <v>6</v>
      </c>
      <c r="K58" s="1">
        <v>2507</v>
      </c>
      <c r="L58" s="1">
        <v>2032</v>
      </c>
      <c r="M58" s="1">
        <v>1960</v>
      </c>
      <c r="N58" s="1" t="s">
        <v>15</v>
      </c>
      <c r="O58" s="1">
        <v>0</v>
      </c>
      <c r="P58" s="1"/>
      <c r="Q58" s="3">
        <f>Query13[[#This Row],[program_name.test_cases.input.number_of_variables]]/Query13[[#This Row],[program_name.test_cases.input.number_of_functors]]</f>
        <v>0.96456692913385822</v>
      </c>
    </row>
    <row r="59" spans="1:17" x14ac:dyDescent="0.25">
      <c r="A59" t="s">
        <v>19</v>
      </c>
      <c r="B59" t="s">
        <v>117</v>
      </c>
      <c r="C59">
        <v>2.4139155989978462</v>
      </c>
      <c r="D59">
        <v>63926272</v>
      </c>
      <c r="E59" t="s">
        <v>68</v>
      </c>
      <c r="F59" t="s">
        <v>24</v>
      </c>
      <c r="G59" t="s">
        <v>25</v>
      </c>
      <c r="H59">
        <v>1000</v>
      </c>
      <c r="I59">
        <v>3000</v>
      </c>
      <c r="J59">
        <v>4</v>
      </c>
      <c r="K59">
        <v>1869</v>
      </c>
      <c r="L59">
        <v>2266</v>
      </c>
      <c r="M59">
        <v>732</v>
      </c>
      <c r="N59" t="s">
        <v>15</v>
      </c>
      <c r="O59">
        <v>0</v>
      </c>
      <c r="P59" t="s">
        <v>17</v>
      </c>
      <c r="Q59" s="6">
        <f>Query13[[#This Row],[program_name.test_cases.input.number_of_variables]]/Query13[[#This Row],[program_name.test_cases.input.number_of_functors]]</f>
        <v>0.32303618711385701</v>
      </c>
    </row>
    <row r="60" spans="1:17" x14ac:dyDescent="0.25">
      <c r="A60" t="s">
        <v>19</v>
      </c>
      <c r="B60" t="s">
        <v>117</v>
      </c>
      <c r="C60">
        <v>0.87723580497549847</v>
      </c>
      <c r="D60">
        <v>62885888</v>
      </c>
      <c r="E60" t="s">
        <v>93</v>
      </c>
      <c r="F60" t="s">
        <v>24</v>
      </c>
      <c r="G60" t="s">
        <v>25</v>
      </c>
      <c r="H60">
        <v>1000</v>
      </c>
      <c r="I60">
        <v>2000</v>
      </c>
      <c r="J60">
        <v>3</v>
      </c>
      <c r="K60">
        <v>1273</v>
      </c>
      <c r="L60">
        <v>1346</v>
      </c>
      <c r="M60">
        <v>653</v>
      </c>
      <c r="N60" t="s">
        <v>15</v>
      </c>
      <c r="O60">
        <v>0</v>
      </c>
      <c r="P60" t="s">
        <v>17</v>
      </c>
      <c r="Q60" s="6">
        <f>Query13[[#This Row],[program_name.test_cases.input.number_of_variables]]/Query13[[#This Row],[program_name.test_cases.input.number_of_functors]]</f>
        <v>0.48514115898959881</v>
      </c>
    </row>
    <row r="61" spans="1:17" x14ac:dyDescent="0.25">
      <c r="A61" t="s">
        <v>19</v>
      </c>
      <c r="B61" t="s">
        <v>117</v>
      </c>
      <c r="C61">
        <v>0.79521734797162935</v>
      </c>
      <c r="D61">
        <v>62758912</v>
      </c>
      <c r="E61" t="s">
        <v>105</v>
      </c>
      <c r="F61" t="s">
        <v>24</v>
      </c>
      <c r="G61" t="s">
        <v>25</v>
      </c>
      <c r="H61">
        <v>1000</v>
      </c>
      <c r="I61">
        <v>2000</v>
      </c>
      <c r="J61">
        <v>3</v>
      </c>
      <c r="K61">
        <v>1276</v>
      </c>
      <c r="L61">
        <v>667</v>
      </c>
      <c r="M61">
        <v>1332</v>
      </c>
      <c r="N61" t="s">
        <v>15</v>
      </c>
      <c r="O61">
        <v>0</v>
      </c>
      <c r="P61" t="s">
        <v>17</v>
      </c>
      <c r="Q61" s="6">
        <f>Query13[[#This Row],[program_name.test_cases.input.number_of_variables]]/Query13[[#This Row],[program_name.test_cases.input.number_of_functors]]</f>
        <v>1.9970014992503748</v>
      </c>
    </row>
    <row r="62" spans="1:17" x14ac:dyDescent="0.25">
      <c r="A62" t="s">
        <v>19</v>
      </c>
      <c r="B62" t="s">
        <v>117</v>
      </c>
      <c r="C62">
        <v>1.9600405520177449</v>
      </c>
      <c r="D62">
        <v>63819776</v>
      </c>
      <c r="E62" t="s">
        <v>57</v>
      </c>
      <c r="F62" t="s">
        <v>24</v>
      </c>
      <c r="G62" t="s">
        <v>25</v>
      </c>
      <c r="H62">
        <v>1000</v>
      </c>
      <c r="I62">
        <v>3000</v>
      </c>
      <c r="J62">
        <v>4</v>
      </c>
      <c r="K62">
        <v>1895</v>
      </c>
      <c r="L62">
        <v>763</v>
      </c>
      <c r="M62">
        <v>2230</v>
      </c>
      <c r="N62" t="s">
        <v>15</v>
      </c>
      <c r="O62">
        <v>0</v>
      </c>
      <c r="P62" t="s">
        <v>17</v>
      </c>
      <c r="Q62" s="6">
        <f>Query13[[#This Row],[program_name.test_cases.input.number_of_variables]]/Query13[[#This Row],[program_name.test_cases.input.number_of_functors]]</f>
        <v>2.9226736566186107</v>
      </c>
    </row>
    <row r="63" spans="1:17" hidden="1" x14ac:dyDescent="0.25">
      <c r="A63" t="s">
        <v>19</v>
      </c>
      <c r="B63" t="s">
        <v>117</v>
      </c>
      <c r="C63">
        <v>300.00461036997149</v>
      </c>
      <c r="D63">
        <v>91422720</v>
      </c>
      <c r="E63" t="s">
        <v>88</v>
      </c>
      <c r="F63" t="s">
        <v>24</v>
      </c>
      <c r="G63" t="s">
        <v>25</v>
      </c>
      <c r="H63">
        <v>5000</v>
      </c>
      <c r="I63">
        <v>50000</v>
      </c>
      <c r="J63">
        <v>16</v>
      </c>
      <c r="K63">
        <v>31172</v>
      </c>
      <c r="L63">
        <v>4616</v>
      </c>
      <c r="M63">
        <v>45331</v>
      </c>
      <c r="N63" t="s">
        <v>15</v>
      </c>
      <c r="P63" t="s">
        <v>16</v>
      </c>
    </row>
    <row r="64" spans="1:17" hidden="1" x14ac:dyDescent="0.25">
      <c r="A64" s="1" t="s">
        <v>19</v>
      </c>
      <c r="B64" s="1" t="s">
        <v>20</v>
      </c>
      <c r="C64" s="1">
        <v>9.0457488279789686</v>
      </c>
      <c r="D64" s="1">
        <v>65851392</v>
      </c>
      <c r="E64" s="1" t="s">
        <v>51</v>
      </c>
      <c r="F64" s="1" t="s">
        <v>24</v>
      </c>
      <c r="G64" s="1" t="s">
        <v>25</v>
      </c>
      <c r="H64" s="1">
        <v>1000</v>
      </c>
      <c r="I64" s="1">
        <v>5000</v>
      </c>
      <c r="J64" s="1">
        <v>8</v>
      </c>
      <c r="K64" s="1">
        <v>3066</v>
      </c>
      <c r="L64" s="1">
        <v>2538</v>
      </c>
      <c r="M64" s="1">
        <v>2451</v>
      </c>
      <c r="N64" s="1" t="s">
        <v>15</v>
      </c>
      <c r="O64" s="1">
        <v>0</v>
      </c>
      <c r="P64" s="1"/>
      <c r="Q64" s="3">
        <f>Query13[[#This Row],[program_name.test_cases.input.number_of_variables]]/Query13[[#This Row],[program_name.test_cases.input.number_of_functors]]</f>
        <v>0.9657210401891253</v>
      </c>
    </row>
    <row r="65" spans="1:17" hidden="1" x14ac:dyDescent="0.25">
      <c r="A65" t="s">
        <v>19</v>
      </c>
      <c r="B65" t="s">
        <v>117</v>
      </c>
      <c r="C65">
        <v>299.99858069501352</v>
      </c>
      <c r="D65">
        <v>85467136</v>
      </c>
      <c r="E65" t="s">
        <v>90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x14ac:dyDescent="0.25">
      <c r="A66" t="s">
        <v>19</v>
      </c>
      <c r="B66" t="s">
        <v>117</v>
      </c>
      <c r="C66">
        <v>3.7016159549821168</v>
      </c>
      <c r="D66">
        <v>64618496</v>
      </c>
      <c r="E66" t="s">
        <v>71</v>
      </c>
      <c r="F66" t="s">
        <v>24</v>
      </c>
      <c r="G66" t="s">
        <v>25</v>
      </c>
      <c r="H66">
        <v>1000</v>
      </c>
      <c r="I66">
        <v>4000</v>
      </c>
      <c r="J66">
        <v>6</v>
      </c>
      <c r="K66">
        <v>2498</v>
      </c>
      <c r="L66">
        <v>836</v>
      </c>
      <c r="M66">
        <v>3155</v>
      </c>
      <c r="N66" t="s">
        <v>15</v>
      </c>
      <c r="O66">
        <v>0</v>
      </c>
      <c r="P66" t="s">
        <v>17</v>
      </c>
      <c r="Q66" s="6">
        <f>Query13[[#This Row],[program_name.test_cases.input.number_of_variables]]/Query13[[#This Row],[program_name.test_cases.input.number_of_functors]]</f>
        <v>3.7739234449760763</v>
      </c>
    </row>
    <row r="67" spans="1:17" hidden="1" x14ac:dyDescent="0.25">
      <c r="A67" s="1" t="s">
        <v>19</v>
      </c>
      <c r="B67" s="1" t="s">
        <v>20</v>
      </c>
      <c r="C67" s="4">
        <v>7.4946766019565985</v>
      </c>
      <c r="D67" s="3">
        <v>65982464</v>
      </c>
      <c r="E67" s="1" t="s">
        <v>38</v>
      </c>
      <c r="F67" s="1" t="s">
        <v>24</v>
      </c>
      <c r="G67" s="1" t="s">
        <v>25</v>
      </c>
      <c r="H67" s="1">
        <v>2500</v>
      </c>
      <c r="I67" s="1">
        <v>5000</v>
      </c>
      <c r="J67" s="1">
        <v>3</v>
      </c>
      <c r="K67" s="1">
        <v>3123</v>
      </c>
      <c r="L67" s="1">
        <v>2538</v>
      </c>
      <c r="M67" s="1">
        <v>2460</v>
      </c>
      <c r="N67" s="1" t="s">
        <v>15</v>
      </c>
      <c r="O67" s="1">
        <v>0</v>
      </c>
      <c r="P67" s="1"/>
      <c r="Q67" s="3">
        <f>Query13[[#This Row],[program_name.test_cases.input.number_of_variables]]/Query13[[#This Row],[program_name.test_cases.input.number_of_functors]]</f>
        <v>0.96926713947990539</v>
      </c>
    </row>
    <row r="68" spans="1:17" hidden="1" x14ac:dyDescent="0.25">
      <c r="A68" s="1" t="s">
        <v>19</v>
      </c>
      <c r="B68" s="1" t="s">
        <v>20</v>
      </c>
      <c r="C68" s="1">
        <v>9.3184149339795113</v>
      </c>
      <c r="D68" s="1">
        <v>65863680</v>
      </c>
      <c r="E68" s="1" t="s">
        <v>55</v>
      </c>
      <c r="F68" s="1" t="s">
        <v>24</v>
      </c>
      <c r="G68" s="1" t="s">
        <v>25</v>
      </c>
      <c r="H68" s="1">
        <v>500</v>
      </c>
      <c r="I68" s="1">
        <v>5000</v>
      </c>
      <c r="J68" s="1">
        <v>16</v>
      </c>
      <c r="K68" s="1">
        <v>3130</v>
      </c>
      <c r="L68" s="1">
        <v>2489</v>
      </c>
      <c r="M68" s="1">
        <v>2479</v>
      </c>
      <c r="N68" s="1" t="s">
        <v>15</v>
      </c>
      <c r="O68" s="1">
        <v>0</v>
      </c>
      <c r="P68" s="1"/>
      <c r="Q68" s="3">
        <f>Query13[[#This Row],[program_name.test_cases.input.number_of_variables]]/Query13[[#This Row],[program_name.test_cases.input.number_of_functors]]</f>
        <v>0.99598232221775818</v>
      </c>
    </row>
    <row r="69" spans="1:17" x14ac:dyDescent="0.25">
      <c r="A69" t="s">
        <v>19</v>
      </c>
      <c r="B69" t="s">
        <v>117</v>
      </c>
      <c r="C69">
        <v>6.538873985002283</v>
      </c>
      <c r="D69">
        <v>65589248</v>
      </c>
      <c r="E69" t="s">
        <v>114</v>
      </c>
      <c r="F69" t="s">
        <v>24</v>
      </c>
      <c r="G69" t="s">
        <v>25</v>
      </c>
      <c r="H69">
        <v>1000</v>
      </c>
      <c r="I69">
        <v>5000</v>
      </c>
      <c r="J69">
        <v>8</v>
      </c>
      <c r="K69">
        <v>3118</v>
      </c>
      <c r="L69">
        <v>834</v>
      </c>
      <c r="M69">
        <v>4154</v>
      </c>
      <c r="N69" t="s">
        <v>15</v>
      </c>
      <c r="O69">
        <v>0</v>
      </c>
      <c r="P69" t="s">
        <v>17</v>
      </c>
      <c r="Q69" s="6">
        <f>Query13[[#This Row],[program_name.test_cases.input.number_of_variables]]/Query13[[#This Row],[program_name.test_cases.input.number_of_functors]]</f>
        <v>4.9808153477218227</v>
      </c>
    </row>
    <row r="70" spans="1:17" x14ac:dyDescent="0.25">
      <c r="A70" t="s">
        <v>19</v>
      </c>
      <c r="B70" t="s">
        <v>117</v>
      </c>
      <c r="C70">
        <v>44.0695852409699</v>
      </c>
      <c r="D70">
        <v>69713920</v>
      </c>
      <c r="E70" t="s">
        <v>61</v>
      </c>
      <c r="F70" t="s">
        <v>24</v>
      </c>
      <c r="G70" t="s">
        <v>25</v>
      </c>
      <c r="H70">
        <v>1000</v>
      </c>
      <c r="I70">
        <v>10000</v>
      </c>
      <c r="J70">
        <v>16</v>
      </c>
      <c r="K70">
        <v>6228</v>
      </c>
      <c r="L70">
        <v>931</v>
      </c>
      <c r="M70">
        <v>9041</v>
      </c>
      <c r="N70" t="s">
        <v>15</v>
      </c>
      <c r="O70">
        <v>0</v>
      </c>
      <c r="Q70" s="6">
        <f>Query13[[#This Row],[program_name.test_cases.input.number_of_variables]]/Query13[[#This Row],[program_name.test_cases.input.number_of_functors]]</f>
        <v>9.7110633727175077</v>
      </c>
    </row>
    <row r="71" spans="1:17" x14ac:dyDescent="0.25">
      <c r="A71" t="s">
        <v>19</v>
      </c>
      <c r="B71" t="s">
        <v>117</v>
      </c>
      <c r="C71">
        <v>83.330121093022171</v>
      </c>
      <c r="D71">
        <v>73826304</v>
      </c>
      <c r="E71" t="s">
        <v>95</v>
      </c>
      <c r="F71" t="s">
        <v>24</v>
      </c>
      <c r="G71" t="s">
        <v>25</v>
      </c>
      <c r="H71">
        <v>2500</v>
      </c>
      <c r="I71">
        <v>12500</v>
      </c>
      <c r="J71">
        <v>8</v>
      </c>
      <c r="K71">
        <v>7770</v>
      </c>
      <c r="L71">
        <v>10380</v>
      </c>
      <c r="M71">
        <v>2100</v>
      </c>
      <c r="N71" t="s">
        <v>15</v>
      </c>
      <c r="O71">
        <v>0</v>
      </c>
      <c r="Q71" s="6">
        <f>Query13[[#This Row],[program_name.test_cases.input.number_of_variables]]/Query13[[#This Row],[program_name.test_cases.input.number_of_functors]]</f>
        <v>0.20231213872832371</v>
      </c>
    </row>
    <row r="72" spans="1:17" hidden="1" x14ac:dyDescent="0.25">
      <c r="A72" s="1" t="s">
        <v>19</v>
      </c>
      <c r="B72" s="1" t="s">
        <v>20</v>
      </c>
      <c r="C72" s="4">
        <v>20.262063163041603</v>
      </c>
      <c r="D72" s="3">
        <v>68321280</v>
      </c>
      <c r="E72" s="1" t="s">
        <v>43</v>
      </c>
      <c r="F72" s="1" t="s">
        <v>24</v>
      </c>
      <c r="G72" s="1" t="s">
        <v>25</v>
      </c>
      <c r="H72" s="1">
        <v>2500</v>
      </c>
      <c r="I72" s="1">
        <v>7500</v>
      </c>
      <c r="J72" s="1">
        <v>4</v>
      </c>
      <c r="K72" s="1">
        <v>4653</v>
      </c>
      <c r="L72" s="1">
        <v>3774</v>
      </c>
      <c r="M72" s="1">
        <v>3720</v>
      </c>
      <c r="N72" s="1" t="s">
        <v>15</v>
      </c>
      <c r="O72" s="1">
        <v>0</v>
      </c>
      <c r="P72" s="1"/>
      <c r="Q72" s="3">
        <f>Query13[[#This Row],[program_name.test_cases.input.number_of_variables]]/Query13[[#This Row],[program_name.test_cases.input.number_of_functors]]</f>
        <v>0.98569157392686801</v>
      </c>
    </row>
    <row r="73" spans="1:17" x14ac:dyDescent="0.25">
      <c r="A73" t="s">
        <v>19</v>
      </c>
      <c r="B73" t="s">
        <v>117</v>
      </c>
      <c r="C73">
        <v>60.435509024013299</v>
      </c>
      <c r="D73">
        <v>71610368</v>
      </c>
      <c r="E73" t="s">
        <v>91</v>
      </c>
      <c r="F73" t="s">
        <v>24</v>
      </c>
      <c r="G73" t="s">
        <v>25</v>
      </c>
      <c r="H73">
        <v>2500</v>
      </c>
      <c r="I73">
        <v>10000</v>
      </c>
      <c r="J73">
        <v>6</v>
      </c>
      <c r="K73">
        <v>6294</v>
      </c>
      <c r="L73">
        <v>8013</v>
      </c>
      <c r="M73">
        <v>1975</v>
      </c>
      <c r="N73" t="s">
        <v>15</v>
      </c>
      <c r="O73">
        <v>0</v>
      </c>
      <c r="Q73" s="6">
        <f>Query13[[#This Row],[program_name.test_cases.input.number_of_variables]]/Query13[[#This Row],[program_name.test_cases.input.number_of_functors]]</f>
        <v>0.24647447897167105</v>
      </c>
    </row>
    <row r="74" spans="1:17" x14ac:dyDescent="0.25">
      <c r="A74" t="s">
        <v>19</v>
      </c>
      <c r="B74" t="s">
        <v>117</v>
      </c>
      <c r="C74">
        <v>21.336808073043361</v>
      </c>
      <c r="D74">
        <v>68698112</v>
      </c>
      <c r="E74" t="s">
        <v>100</v>
      </c>
      <c r="F74" t="s">
        <v>24</v>
      </c>
      <c r="G74" t="s">
        <v>25</v>
      </c>
      <c r="H74">
        <v>2500</v>
      </c>
      <c r="I74">
        <v>7500</v>
      </c>
      <c r="J74">
        <v>4</v>
      </c>
      <c r="K74">
        <v>4690</v>
      </c>
      <c r="L74">
        <v>5598</v>
      </c>
      <c r="M74">
        <v>1893</v>
      </c>
      <c r="N74" t="s">
        <v>15</v>
      </c>
      <c r="O74">
        <v>0</v>
      </c>
      <c r="Q74" s="6">
        <f>Query13[[#This Row],[program_name.test_cases.input.number_of_variables]]/Query13[[#This Row],[program_name.test_cases.input.number_of_functors]]</f>
        <v>0.33815648445873525</v>
      </c>
    </row>
    <row r="75" spans="1:17" x14ac:dyDescent="0.25">
      <c r="A75" t="s">
        <v>19</v>
      </c>
      <c r="B75" t="s">
        <v>117</v>
      </c>
      <c r="C75">
        <v>7.591536505962722</v>
      </c>
      <c r="D75">
        <v>66039808</v>
      </c>
      <c r="E75" t="s">
        <v>72</v>
      </c>
      <c r="F75" t="s">
        <v>24</v>
      </c>
      <c r="G75" t="s">
        <v>25</v>
      </c>
      <c r="H75">
        <v>2500</v>
      </c>
      <c r="I75">
        <v>5000</v>
      </c>
      <c r="J75">
        <v>3</v>
      </c>
      <c r="K75">
        <v>3090</v>
      </c>
      <c r="L75">
        <v>3332</v>
      </c>
      <c r="M75">
        <v>1664</v>
      </c>
      <c r="N75" t="s">
        <v>15</v>
      </c>
      <c r="O75">
        <v>0</v>
      </c>
      <c r="Q75" s="6">
        <f>Query13[[#This Row],[program_name.test_cases.input.number_of_variables]]/Query13[[#This Row],[program_name.test_cases.input.number_of_functors]]</f>
        <v>0.49939975990396157</v>
      </c>
    </row>
    <row r="76" spans="1:17" hidden="1" x14ac:dyDescent="0.25">
      <c r="A76" s="1" t="s">
        <v>19</v>
      </c>
      <c r="B76" s="1" t="s">
        <v>20</v>
      </c>
      <c r="C76" s="4">
        <v>53.389985967951361</v>
      </c>
      <c r="D76" s="3">
        <v>70660096</v>
      </c>
      <c r="E76" s="1" t="s">
        <v>28</v>
      </c>
      <c r="F76" s="1" t="s">
        <v>24</v>
      </c>
      <c r="G76" s="1" t="s">
        <v>25</v>
      </c>
      <c r="H76" s="1">
        <v>1000</v>
      </c>
      <c r="I76" s="1">
        <v>10000</v>
      </c>
      <c r="J76" s="1">
        <v>16</v>
      </c>
      <c r="K76" s="1">
        <v>6221</v>
      </c>
      <c r="L76" s="1">
        <v>5012</v>
      </c>
      <c r="M76" s="1">
        <v>4945</v>
      </c>
      <c r="N76" s="1" t="s">
        <v>15</v>
      </c>
      <c r="O76" s="1">
        <v>0</v>
      </c>
      <c r="P76" s="1"/>
      <c r="Q76" s="3">
        <f>Query13[[#This Row],[program_name.test_cases.input.number_of_variables]]/Query13[[#This Row],[program_name.test_cases.input.number_of_functors]]</f>
        <v>0.98663208300079808</v>
      </c>
    </row>
    <row r="77" spans="1:17" hidden="1" x14ac:dyDescent="0.25">
      <c r="A77" t="s">
        <v>19</v>
      </c>
      <c r="B77" t="s">
        <v>117</v>
      </c>
      <c r="C77">
        <v>300.00858844298637</v>
      </c>
      <c r="D77">
        <v>82501632</v>
      </c>
      <c r="E77" t="s">
        <v>102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x14ac:dyDescent="0.25">
      <c r="A78" t="s">
        <v>19</v>
      </c>
      <c r="B78" t="s">
        <v>117</v>
      </c>
      <c r="C78">
        <v>6.9988373200176284</v>
      </c>
      <c r="D78">
        <v>65703936</v>
      </c>
      <c r="E78" t="s">
        <v>89</v>
      </c>
      <c r="F78" t="s">
        <v>24</v>
      </c>
      <c r="G78" t="s">
        <v>25</v>
      </c>
      <c r="H78">
        <v>2500</v>
      </c>
      <c r="I78">
        <v>5000</v>
      </c>
      <c r="J78">
        <v>3</v>
      </c>
      <c r="K78">
        <v>3172</v>
      </c>
      <c r="L78">
        <v>1664</v>
      </c>
      <c r="M78">
        <v>3333</v>
      </c>
      <c r="N78" t="s">
        <v>15</v>
      </c>
      <c r="O78">
        <v>0</v>
      </c>
      <c r="P78" t="s">
        <v>17</v>
      </c>
      <c r="Q78" s="6">
        <f>Query13[[#This Row],[program_name.test_cases.input.number_of_variables]]/Query13[[#This Row],[program_name.test_cases.input.number_of_functors]]</f>
        <v>2.0030048076923075</v>
      </c>
    </row>
    <row r="79" spans="1:17" hidden="1" x14ac:dyDescent="0.25">
      <c r="A79" s="1" t="s">
        <v>19</v>
      </c>
      <c r="B79" s="1" t="s">
        <v>20</v>
      </c>
      <c r="C79" s="4">
        <v>44.650280915026087</v>
      </c>
      <c r="D79" s="3">
        <v>70823936</v>
      </c>
      <c r="E79" s="1" t="s">
        <v>31</v>
      </c>
      <c r="F79" s="1" t="s">
        <v>24</v>
      </c>
      <c r="G79" s="1" t="s">
        <v>25</v>
      </c>
      <c r="H79" s="1">
        <v>2500</v>
      </c>
      <c r="I79" s="1">
        <v>10000</v>
      </c>
      <c r="J79" s="1">
        <v>6</v>
      </c>
      <c r="K79" s="1">
        <v>6270</v>
      </c>
      <c r="L79" s="1">
        <v>4946</v>
      </c>
      <c r="M79" s="1">
        <v>5046</v>
      </c>
      <c r="N79" s="1" t="s">
        <v>15</v>
      </c>
      <c r="O79" s="1">
        <v>0</v>
      </c>
      <c r="P79" s="1"/>
      <c r="Q79" s="3">
        <f>Query13[[#This Row],[program_name.test_cases.input.number_of_variables]]/Query13[[#This Row],[program_name.test_cases.input.number_of_functors]]</f>
        <v>1.0202183582693085</v>
      </c>
    </row>
    <row r="80" spans="1:17" x14ac:dyDescent="0.25">
      <c r="A80" t="s">
        <v>19</v>
      </c>
      <c r="B80" t="s">
        <v>117</v>
      </c>
      <c r="C80">
        <v>19.208095730980855</v>
      </c>
      <c r="D80">
        <v>67923968</v>
      </c>
      <c r="E80" t="s">
        <v>96</v>
      </c>
      <c r="F80" t="s">
        <v>24</v>
      </c>
      <c r="G80" t="s">
        <v>25</v>
      </c>
      <c r="H80">
        <v>2500</v>
      </c>
      <c r="I80">
        <v>7500</v>
      </c>
      <c r="J80">
        <v>4</v>
      </c>
      <c r="K80">
        <v>4713</v>
      </c>
      <c r="L80">
        <v>1893</v>
      </c>
      <c r="M80">
        <v>5603</v>
      </c>
      <c r="N80" t="s">
        <v>15</v>
      </c>
      <c r="O80">
        <v>0</v>
      </c>
      <c r="Q80" s="6">
        <f>Query13[[#This Row],[program_name.test_cases.input.number_of_variables]]/Query13[[#This Row],[program_name.test_cases.input.number_of_functors]]</f>
        <v>2.9598520866349709</v>
      </c>
    </row>
    <row r="81" spans="1:17" hidden="1" x14ac:dyDescent="0.25">
      <c r="A81" s="1" t="s">
        <v>19</v>
      </c>
      <c r="B81" s="1" t="s">
        <v>20</v>
      </c>
      <c r="C81" s="1">
        <v>43.959103945002425</v>
      </c>
      <c r="D81" s="1">
        <v>71069696</v>
      </c>
      <c r="E81" s="1" t="s">
        <v>56</v>
      </c>
      <c r="F81" s="1" t="s">
        <v>24</v>
      </c>
      <c r="G81" s="1" t="s">
        <v>25</v>
      </c>
      <c r="H81" s="1">
        <v>5000</v>
      </c>
      <c r="I81" s="1">
        <v>10000</v>
      </c>
      <c r="J81" s="1">
        <v>3</v>
      </c>
      <c r="K81" s="1">
        <v>6225</v>
      </c>
      <c r="L81" s="1">
        <v>4934</v>
      </c>
      <c r="M81" s="1">
        <v>5064</v>
      </c>
      <c r="N81" s="1" t="s">
        <v>15</v>
      </c>
      <c r="O81" s="1">
        <v>0</v>
      </c>
      <c r="P81" s="1"/>
      <c r="Q81" s="3">
        <f>Query13[[#This Row],[program_name.test_cases.input.number_of_variables]]/Query13[[#This Row],[program_name.test_cases.input.number_of_functors]]</f>
        <v>1.0263477908390759</v>
      </c>
    </row>
    <row r="82" spans="1:17" x14ac:dyDescent="0.25">
      <c r="A82" t="s">
        <v>19</v>
      </c>
      <c r="B82" t="s">
        <v>117</v>
      </c>
      <c r="C82">
        <v>41.172536621976178</v>
      </c>
      <c r="D82">
        <v>70246400</v>
      </c>
      <c r="E82" t="s">
        <v>109</v>
      </c>
      <c r="F82" t="s">
        <v>24</v>
      </c>
      <c r="G82" t="s">
        <v>25</v>
      </c>
      <c r="H82">
        <v>2500</v>
      </c>
      <c r="I82">
        <v>10000</v>
      </c>
      <c r="J82">
        <v>6</v>
      </c>
      <c r="K82">
        <v>6276</v>
      </c>
      <c r="L82">
        <v>1998</v>
      </c>
      <c r="M82">
        <v>7992</v>
      </c>
      <c r="N82" t="s">
        <v>15</v>
      </c>
      <c r="O82">
        <v>0</v>
      </c>
      <c r="Q82" s="6">
        <f>Query13[[#This Row],[program_name.test_cases.input.number_of_variables]]/Query13[[#This Row],[program_name.test_cases.input.number_of_functors]]</f>
        <v>4</v>
      </c>
    </row>
    <row r="83" spans="1:17" x14ac:dyDescent="0.25">
      <c r="A83" t="s">
        <v>19</v>
      </c>
      <c r="B83" t="s">
        <v>117</v>
      </c>
      <c r="C83">
        <v>86.787678505002987</v>
      </c>
      <c r="D83">
        <v>72114176</v>
      </c>
      <c r="E83" t="s">
        <v>111</v>
      </c>
      <c r="F83" t="s">
        <v>24</v>
      </c>
      <c r="G83" t="s">
        <v>25</v>
      </c>
      <c r="H83">
        <v>2500</v>
      </c>
      <c r="I83">
        <v>12500</v>
      </c>
      <c r="J83">
        <v>8</v>
      </c>
      <c r="K83">
        <v>7835</v>
      </c>
      <c r="L83">
        <v>2087</v>
      </c>
      <c r="M83">
        <v>10401</v>
      </c>
      <c r="N83" t="s">
        <v>15</v>
      </c>
      <c r="O83">
        <v>0</v>
      </c>
      <c r="Q83" s="6">
        <f>Query13[[#This Row],[program_name.test_cases.input.number_of_variables]]/Query13[[#This Row],[program_name.test_cases.input.number_of_functors]]</f>
        <v>4.9837086727359843</v>
      </c>
    </row>
    <row r="84" spans="1:17" hidden="1" x14ac:dyDescent="0.25">
      <c r="A84" s="1" t="s">
        <v>19</v>
      </c>
      <c r="B84" s="1" t="s">
        <v>20</v>
      </c>
      <c r="C84" s="4">
        <v>80.443289969000034</v>
      </c>
      <c r="D84" s="3">
        <v>72937472</v>
      </c>
      <c r="E84" s="1" t="s">
        <v>42</v>
      </c>
      <c r="F84" s="1" t="s">
        <v>24</v>
      </c>
      <c r="G84" s="1" t="s">
        <v>25</v>
      </c>
      <c r="H84" s="1">
        <v>2500</v>
      </c>
      <c r="I84" s="1">
        <v>12500</v>
      </c>
      <c r="J84" s="1">
        <v>8</v>
      </c>
      <c r="K84" s="1">
        <v>7810</v>
      </c>
      <c r="L84" s="1">
        <v>6136</v>
      </c>
      <c r="M84" s="1">
        <v>6338</v>
      </c>
      <c r="N84" s="1" t="s">
        <v>15</v>
      </c>
      <c r="O84" s="1">
        <v>0</v>
      </c>
      <c r="P84" s="1"/>
      <c r="Q84" s="3">
        <f>Query13[[#This Row],[program_name.test_cases.input.number_of_variables]]/Query13[[#This Row],[program_name.test_cases.input.number_of_functors]]</f>
        <v>1.0329204693611473</v>
      </c>
    </row>
    <row r="85" spans="1:17" x14ac:dyDescent="0.25">
      <c r="A85" t="s">
        <v>19</v>
      </c>
      <c r="B85" t="s">
        <v>117</v>
      </c>
      <c r="C85">
        <v>143.42560111102648</v>
      </c>
      <c r="D85">
        <v>76566528</v>
      </c>
      <c r="E85" t="s">
        <v>115</v>
      </c>
      <c r="F85" t="s">
        <v>24</v>
      </c>
      <c r="G85" t="s">
        <v>25</v>
      </c>
      <c r="H85">
        <v>5000</v>
      </c>
      <c r="I85">
        <v>15000</v>
      </c>
      <c r="J85">
        <v>4</v>
      </c>
      <c r="K85">
        <v>9306</v>
      </c>
      <c r="L85">
        <v>11178</v>
      </c>
      <c r="M85">
        <v>3818</v>
      </c>
      <c r="N85" t="s">
        <v>15</v>
      </c>
      <c r="O85">
        <v>0</v>
      </c>
      <c r="Q85" s="6">
        <f>Query13[[#This Row],[program_name.test_cases.input.number_of_variables]]/Query13[[#This Row],[program_name.test_cases.input.number_of_functors]]</f>
        <v>0.34156378600823045</v>
      </c>
    </row>
    <row r="86" spans="1:17" x14ac:dyDescent="0.25">
      <c r="A86" t="s">
        <v>19</v>
      </c>
      <c r="B86" t="s">
        <v>117</v>
      </c>
      <c r="C86">
        <v>42.874961238005199</v>
      </c>
      <c r="D86">
        <v>71446528</v>
      </c>
      <c r="E86" t="s">
        <v>106</v>
      </c>
      <c r="F86" t="s">
        <v>24</v>
      </c>
      <c r="G86" t="s">
        <v>25</v>
      </c>
      <c r="H86">
        <v>5000</v>
      </c>
      <c r="I86">
        <v>10000</v>
      </c>
      <c r="J86">
        <v>3</v>
      </c>
      <c r="K86">
        <v>6251</v>
      </c>
      <c r="L86">
        <v>6615</v>
      </c>
      <c r="M86">
        <v>3383</v>
      </c>
      <c r="N86" t="s">
        <v>15</v>
      </c>
      <c r="O86">
        <v>0</v>
      </c>
      <c r="Q86" s="6">
        <f>Query13[[#This Row],[program_name.test_cases.input.number_of_variables]]/Query13[[#This Row],[program_name.test_cases.input.number_of_functors]]</f>
        <v>0.51141345427059715</v>
      </c>
    </row>
    <row r="87" spans="1:17" x14ac:dyDescent="0.25">
      <c r="A87" t="s">
        <v>19</v>
      </c>
      <c r="B87" t="s">
        <v>117</v>
      </c>
      <c r="C87">
        <v>44.776390582032029</v>
      </c>
      <c r="D87">
        <v>70897664</v>
      </c>
      <c r="E87" t="s">
        <v>116</v>
      </c>
      <c r="F87" t="s">
        <v>24</v>
      </c>
      <c r="G87" t="s">
        <v>25</v>
      </c>
      <c r="H87">
        <v>5000</v>
      </c>
      <c r="I87">
        <v>10000</v>
      </c>
      <c r="J87">
        <v>3</v>
      </c>
      <c r="K87">
        <v>6295</v>
      </c>
      <c r="L87">
        <v>3360</v>
      </c>
      <c r="M87">
        <v>6636</v>
      </c>
      <c r="N87" t="s">
        <v>15</v>
      </c>
      <c r="O87">
        <v>0</v>
      </c>
      <c r="Q87" s="6">
        <f>Query13[[#This Row],[program_name.test_cases.input.number_of_variables]]/Query13[[#This Row],[program_name.test_cases.input.number_of_functors]]</f>
        <v>1.9750000000000001</v>
      </c>
    </row>
    <row r="88" spans="1:17" hidden="1" x14ac:dyDescent="0.25">
      <c r="A88" t="s">
        <v>19</v>
      </c>
      <c r="B88" t="s">
        <v>117</v>
      </c>
      <c r="C88">
        <v>300.00489659101004</v>
      </c>
      <c r="D88">
        <v>85495808</v>
      </c>
      <c r="E88" t="s">
        <v>113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hidden="1" x14ac:dyDescent="0.25">
      <c r="A89" s="1" t="s">
        <v>19</v>
      </c>
      <c r="B89" s="1" t="s">
        <v>20</v>
      </c>
      <c r="C89" s="4">
        <v>131.88990875094896</v>
      </c>
      <c r="D89" s="3">
        <v>75767808</v>
      </c>
      <c r="E89" s="1" t="s">
        <v>34</v>
      </c>
      <c r="F89" s="1" t="s">
        <v>24</v>
      </c>
      <c r="G89" s="1" t="s">
        <v>25</v>
      </c>
      <c r="H89" s="1">
        <v>5000</v>
      </c>
      <c r="I89" s="1">
        <v>15000</v>
      </c>
      <c r="J89" s="1">
        <v>4</v>
      </c>
      <c r="K89" s="1">
        <v>9366</v>
      </c>
      <c r="L89" s="1">
        <v>7495</v>
      </c>
      <c r="M89" s="1">
        <v>7501</v>
      </c>
      <c r="N89" s="1" t="s">
        <v>15</v>
      </c>
      <c r="O89" s="1">
        <v>0</v>
      </c>
      <c r="P89" s="1"/>
      <c r="Q89" s="3">
        <f>Query13[[#This Row],[program_name.test_cases.input.number_of_variables]]/Query13[[#This Row],[program_name.test_cases.input.number_of_functors]]</f>
        <v>1.0008005336891261</v>
      </c>
    </row>
    <row r="90" spans="1:17" x14ac:dyDescent="0.25">
      <c r="A90" t="s">
        <v>19</v>
      </c>
      <c r="B90" t="s">
        <v>117</v>
      </c>
      <c r="C90">
        <v>131.14772083598655</v>
      </c>
      <c r="D90">
        <v>75059200</v>
      </c>
      <c r="E90" t="s">
        <v>67</v>
      </c>
      <c r="F90" t="s">
        <v>24</v>
      </c>
      <c r="G90" t="s">
        <v>25</v>
      </c>
      <c r="H90">
        <v>5000</v>
      </c>
      <c r="I90">
        <v>15000</v>
      </c>
      <c r="J90">
        <v>4</v>
      </c>
      <c r="K90">
        <v>9405</v>
      </c>
      <c r="L90">
        <v>3780</v>
      </c>
      <c r="M90">
        <v>11218</v>
      </c>
      <c r="N90" t="s">
        <v>15</v>
      </c>
      <c r="O90">
        <v>0</v>
      </c>
      <c r="Q90" s="6">
        <f>Query13[[#This Row],[program_name.test_cases.input.number_of_variables]]/Query13[[#This Row],[program_name.test_cases.input.number_of_functors]]</f>
        <v>2.9677248677248675</v>
      </c>
    </row>
    <row r="91" spans="1:17" x14ac:dyDescent="0.25">
      <c r="A91" t="s">
        <v>19</v>
      </c>
      <c r="B91" t="s">
        <v>117</v>
      </c>
      <c r="C91">
        <v>295.73643653502222</v>
      </c>
      <c r="D91">
        <v>79466496</v>
      </c>
      <c r="E91" t="s">
        <v>58</v>
      </c>
      <c r="F91" t="s">
        <v>24</v>
      </c>
      <c r="G91" t="s">
        <v>25</v>
      </c>
      <c r="H91">
        <v>5000</v>
      </c>
      <c r="I91">
        <v>20000</v>
      </c>
      <c r="J91">
        <v>6</v>
      </c>
      <c r="K91">
        <v>12515</v>
      </c>
      <c r="L91">
        <v>4075</v>
      </c>
      <c r="M91">
        <v>15916</v>
      </c>
      <c r="N91" t="s">
        <v>15</v>
      </c>
      <c r="O91">
        <v>0</v>
      </c>
      <c r="Q91" s="6">
        <f>Query13[[#This Row],[program_name.test_cases.input.number_of_variables]]/Query13[[#This Row],[program_name.test_cases.input.number_of_functors]]</f>
        <v>3.9057668711656444</v>
      </c>
    </row>
    <row r="92" spans="1:17" x14ac:dyDescent="0.25">
      <c r="Q92" s="2"/>
    </row>
    <row r="93" spans="1:17" x14ac:dyDescent="0.25">
      <c r="Q93" s="2"/>
    </row>
    <row r="94" spans="1:17" x14ac:dyDescent="0.25">
      <c r="Q94" s="2"/>
    </row>
    <row r="95" spans="1:17" x14ac:dyDescent="0.25">
      <c r="Q95" s="2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_new">
                <anchor moveWithCells="1" sizeWithCells="1">
                  <from>
                    <xdr:col>12</xdr:col>
                    <xdr:colOff>0</xdr:colOff>
                    <xdr:row>94</xdr:row>
                    <xdr:rowOff>95250</xdr:rowOff>
                  </from>
                  <to>
                    <xdr:col>12</xdr:col>
                    <xdr:colOff>4343400</xdr:colOff>
                    <xdr:row>100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DF2C51-0437-43DC-9961-B0ABB6B6A8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2019-08-14T21:07:37Z</dcterms:modified>
</cp:coreProperties>
</file>